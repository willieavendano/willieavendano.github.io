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dth Example" sheetId="2" state="visible" r:id="rId2"/>
    <sheet name="Height (You Build)" sheetId="3" state="visible" r:id="rId3"/>
    <sheet name="Length (You Build)" sheetId="4" state="visible" r:id="rId4"/>
    <sheet name="Concl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i val="1"/>
      <color rgb="00475569"/>
      <sz val="10"/>
    </font>
    <font>
      <name val="Arial"/>
      <b val="1"/>
      <color rgb="001D4ED8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64748B"/>
      <sz val="9"/>
    </font>
    <font>
      <name val="Arial"/>
      <b val="1"/>
      <color rgb="0064748B"/>
      <sz val="8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2E8F0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4748B"/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Project 0.2.3 · Tolerance Analysis — “How Big Can the Battery Be?”</t>
        </is>
      </c>
    </row>
    <row r="2">
      <c r="A2" s="2" t="inlineStr">
        <is>
          <t>Principles of Engineering · Unit 0.2 · Companion workbook to the project PDF</t>
        </is>
      </c>
    </row>
    <row r="4">
      <c r="A4" s="3" t="inlineStr">
        <is>
          <t>THE MISSION</t>
        </is>
      </c>
    </row>
    <row r="5" ht="44" customHeight="1">
      <c r="A5" s="4" t="inlineStr">
        <is>
          <t>A smartphone battery shares a very tight space with the logic board, camera, speaker, and housing walls. Every part is manufactured with a tolerance — how much bigger or smaller than its nominal (perfect) size it can come out. Your job: build a tolerance loop and find the biggest battery that will actually fit.</t>
        </is>
      </c>
    </row>
    <row r="7">
      <c r="A7" s="3" t="inlineStr">
        <is>
          <t>HOW THIS WORKBOOK WORKS</t>
        </is>
      </c>
    </row>
    <row r="8">
      <c r="A8" s="4" t="inlineStr">
        <is>
          <t>1 · Width Example — a fully worked model (Lesson 2, steps 1–5). Study it before you build.</t>
        </is>
      </c>
    </row>
    <row r="9">
      <c r="A9" s="4" t="inlineStr">
        <is>
          <t>2 · Height (You Build) — Lesson 3, steps 6–10: build the tolerance loop for the height dimension.</t>
        </is>
      </c>
    </row>
    <row r="10">
      <c r="A10" s="4" t="inlineStr">
        <is>
          <t>3 · Length (You Build) — Lesson 3, step 11: repeat the full analysis for the length dimension.</t>
        </is>
      </c>
    </row>
    <row r="11">
      <c r="A11" s="4" t="inlineStr">
        <is>
          <t>4 · Conclusion — answer the three lesson questions in complete sentences.</t>
        </is>
      </c>
    </row>
    <row r="13">
      <c r="A13" s="3" t="inlineStr">
        <is>
          <t>RULES OF THE SHEET</t>
        </is>
      </c>
    </row>
    <row r="14">
      <c r="A14" s="4" t="inlineStr">
        <is>
          <t>Yellow cells = you type here.   Gray cells = the formulas do the math — don't edit them.</t>
        </is>
      </c>
    </row>
    <row r="15">
      <c r="A15" s="4" t="inlineStr">
        <is>
          <t>Enter every nominal value and tolerance as a positive number. Direction goes in the Sign column: 1 = the loop travels with the dimension, −1 = the loop travels against it.</t>
        </is>
      </c>
    </row>
    <row r="16" ht="30" customHeight="1">
      <c r="A16" s="4" t="inlineStr">
        <is>
          <t>A full tolerance loop starts and ends in the same spot, so all its signed dimensions must add up to 0. That's your built-in reality check.</t>
        </is>
      </c>
    </row>
    <row r="18">
      <c r="A18" s="3" t="inlineStr">
        <is>
          <t>THE MATH (same three steps every time)</t>
        </is>
      </c>
    </row>
    <row r="19">
      <c r="A19" s="4" t="inlineStr">
        <is>
          <t>Step 3 · Nominal (the unknown part)  =  − SUM( signed nominals of every OTHER part in the loop )</t>
        </is>
      </c>
    </row>
    <row r="20">
      <c r="A20" s="4" t="inlineStr">
        <is>
          <t>Step 4 · RSS Max  =  Nominal − √( sum of every Tolerance² )     → the size that works 99.9% of the time</t>
        </is>
      </c>
    </row>
    <row r="21">
      <c r="A21" s="4" t="inlineStr">
        <is>
          <t>Step 5 · Worst Case  =  Nominal − SUM( every Tolerance )     → the guaranteed-fit size</t>
        </is>
      </c>
    </row>
    <row r="22">
      <c r="A22" s="4" t="inlineStr">
        <is>
          <t>Step 10 · % larger  =  ( RSS Max − Worst Case ) ÷ Worst Case</t>
        </is>
      </c>
    </row>
    <row r="24">
      <c r="A24" s="3" t="inlineStr">
        <is>
          <t>TURN-IN</t>
        </is>
      </c>
    </row>
    <row r="25">
      <c r="A25" s="4" t="inlineStr">
        <is>
          <t>This workbook is distributed through Google Classroom — your copy is automatically shared with your teacher when you submit. Record your final numbers in your engineering notebook too.</t>
        </is>
      </c>
    </row>
  </sheetData>
  <mergeCells count="20">
    <mergeCell ref="A9:H9"/>
    <mergeCell ref="A15:H15"/>
    <mergeCell ref="A24:H24"/>
    <mergeCell ref="A11:H11"/>
    <mergeCell ref="A1:H1"/>
    <mergeCell ref="A7:H7"/>
    <mergeCell ref="A25:H25"/>
    <mergeCell ref="A16:H16"/>
    <mergeCell ref="A18:H18"/>
    <mergeCell ref="A21:H21"/>
    <mergeCell ref="A2:H2"/>
    <mergeCell ref="A14:H14"/>
    <mergeCell ref="A5:H5"/>
    <mergeCell ref="A8:H8"/>
    <mergeCell ref="A22:H22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G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3" customWidth="1" min="4" max="4"/>
    <col width="13" customWidth="1" min="5" max="5"/>
    <col width="16" customWidth="1" min="6" max="6"/>
    <col width="14" customWidth="1" min="7" max="7"/>
  </cols>
  <sheetData>
    <row r="1" ht="26" customHeight="1">
      <c r="A1" s="5" t="inlineStr">
        <is>
          <t>Worked Example · Battery WIDTH (Lesson 2, Steps 1–5)</t>
        </is>
      </c>
    </row>
    <row r="2" ht="34" customHeight="1">
      <c r="A2" s="6" t="inlineStr">
        <is>
          <t>Loop: Safety air gap (1) → Logic board (2) → Wall to logic board (3) → Housing width (4) → Wall thickness (5) → Safety air gap (6) → Battery width (7). The loop switches direction along the Housing width, so its sign is −1. All dimensions in mm.</t>
        </is>
      </c>
    </row>
    <row r="4">
      <c r="A4" s="3" t="inlineStr">
        <is>
          <t>Steps 1–2 · Tolerance loop table — fully worked. Follow the formulas from cell to cell.</t>
        </is>
      </c>
    </row>
    <row r="5" ht="28" customHeight="1">
      <c r="A5" s="7" t="inlineStr">
        <is>
          <t>Component #</t>
        </is>
      </c>
      <c r="B5" s="7" t="inlineStr">
        <is>
          <t>Dimension</t>
        </is>
      </c>
      <c r="C5" s="7" t="inlineStr">
        <is>
          <t>Sign (1 or −1)</t>
        </is>
      </c>
      <c r="D5" s="7" t="inlineStr">
        <is>
          <t>Nominal (mm)</t>
        </is>
      </c>
      <c r="E5" s="7" t="inlineStr">
        <is>
          <t>Tolerance (mm)</t>
        </is>
      </c>
      <c r="F5" s="7" t="inlineStr">
        <is>
          <t>Signed Nominal (mm)</t>
        </is>
      </c>
      <c r="G5" s="7" t="inlineStr">
        <is>
          <t>Tolerance² (mm²)</t>
        </is>
      </c>
    </row>
    <row r="6">
      <c r="A6" s="8" t="n">
        <v>1</v>
      </c>
      <c r="B6" s="9" t="inlineStr">
        <is>
          <t>Safety air gap</t>
        </is>
      </c>
      <c r="C6" s="8" t="n">
        <v>1</v>
      </c>
      <c r="D6" s="10" t="n">
        <v>0.4</v>
      </c>
      <c r="E6" s="10" t="n">
        <v>0.2</v>
      </c>
      <c r="F6" s="10">
        <f>C6*D6</f>
        <v/>
      </c>
      <c r="G6" s="11">
        <f>E6^2</f>
        <v/>
      </c>
    </row>
    <row r="7">
      <c r="A7" s="8" t="n">
        <v>2</v>
      </c>
      <c r="B7" s="9" t="inlineStr">
        <is>
          <t>Logic board</t>
        </is>
      </c>
      <c r="C7" s="8" t="n">
        <v>1</v>
      </c>
      <c r="D7" s="10" t="n">
        <v>21.2</v>
      </c>
      <c r="E7" s="10" t="n">
        <v>0.5</v>
      </c>
      <c r="F7" s="10">
        <f>C7*D7</f>
        <v/>
      </c>
      <c r="G7" s="11">
        <f>E7^2</f>
        <v/>
      </c>
    </row>
    <row r="8">
      <c r="A8" s="8" t="n">
        <v>3</v>
      </c>
      <c r="B8" s="9" t="inlineStr">
        <is>
          <t>Wall to logic board</t>
        </is>
      </c>
      <c r="C8" s="8" t="n">
        <v>1</v>
      </c>
      <c r="D8" s="10" t="n">
        <v>11</v>
      </c>
      <c r="E8" s="10" t="n">
        <v>0.6</v>
      </c>
      <c r="F8" s="10">
        <f>C8*D8</f>
        <v/>
      </c>
      <c r="G8" s="11">
        <f>E8^2</f>
        <v/>
      </c>
    </row>
    <row r="9">
      <c r="A9" s="8" t="n">
        <v>4</v>
      </c>
      <c r="B9" s="9" t="inlineStr">
        <is>
          <t>Housing width</t>
        </is>
      </c>
      <c r="C9" s="8" t="n">
        <v>-1</v>
      </c>
      <c r="D9" s="10" t="n">
        <v>71.5</v>
      </c>
      <c r="E9" s="10" t="n">
        <v>0.2</v>
      </c>
      <c r="F9" s="10">
        <f>C9*D9</f>
        <v/>
      </c>
      <c r="G9" s="11">
        <f>E9^2</f>
        <v/>
      </c>
    </row>
    <row r="10">
      <c r="A10" s="8" t="n">
        <v>5</v>
      </c>
      <c r="B10" s="9" t="inlineStr">
        <is>
          <t>Wall thickness</t>
        </is>
      </c>
      <c r="C10" s="8" t="n">
        <v>1</v>
      </c>
      <c r="D10" s="10" t="n">
        <v>0.5</v>
      </c>
      <c r="E10" s="10" t="n">
        <v>0.5</v>
      </c>
      <c r="F10" s="10">
        <f>C10*D10</f>
        <v/>
      </c>
      <c r="G10" s="11">
        <f>E10^2</f>
        <v/>
      </c>
    </row>
    <row r="11">
      <c r="A11" s="8" t="n">
        <v>6</v>
      </c>
      <c r="B11" s="9" t="inlineStr">
        <is>
          <t>Safety air gap</t>
        </is>
      </c>
      <c r="C11" s="8" t="n">
        <v>1</v>
      </c>
      <c r="D11" s="10" t="n">
        <v>0.4</v>
      </c>
      <c r="E11" s="10" t="n">
        <v>0.2</v>
      </c>
      <c r="F11" s="10">
        <f>C11*D11</f>
        <v/>
      </c>
      <c r="G11" s="11">
        <f>E11^2</f>
        <v/>
      </c>
    </row>
    <row r="12">
      <c r="A12" s="8" t="n">
        <v>7</v>
      </c>
      <c r="B12" s="9" t="inlineStr">
        <is>
          <t>Battery width</t>
        </is>
      </c>
      <c r="C12" s="8" t="n">
        <v>1</v>
      </c>
      <c r="D12" s="10">
        <f>-SUM(F6:F11)</f>
        <v/>
      </c>
      <c r="E12" s="10" t="n">
        <v>1</v>
      </c>
      <c r="F12" s="10">
        <f>C12*D12</f>
        <v/>
      </c>
      <c r="G12" s="11">
        <f>E12^2</f>
        <v/>
      </c>
    </row>
    <row r="13">
      <c r="A13" s="12" t="inlineStr">
        <is>
          <t>Loop sum — a full loop must equal 0</t>
        </is>
      </c>
      <c r="D13" s="13">
        <f>SUM(F6:F12)</f>
        <v/>
      </c>
      <c r="E13" s="14" t="inlineStr">
        <is>
          <t>← if this isn't 0, check your signs</t>
        </is>
      </c>
    </row>
    <row r="14">
      <c r="A14" s="14" t="inlineStr">
        <is>
          <t>Do each step on paper first, type your answer in the yellow column, then compare with what the spreadsheet computes.</t>
        </is>
      </c>
    </row>
    <row r="15">
      <c r="A15" s="3" t="inlineStr">
        <is>
          <t>Steps 3–5 · Results</t>
        </is>
      </c>
      <c r="E15" s="15" t="inlineStr">
        <is>
          <t>Hand calc ↓</t>
        </is>
      </c>
    </row>
    <row r="16">
      <c r="A16" s="4" t="inlineStr">
        <is>
          <t>Step 3 · Nominal Battery WIDTH</t>
        </is>
      </c>
      <c r="D16" s="16">
        <f>-SUM(F6:F11)</f>
        <v/>
      </c>
      <c r="E16" s="17" t="n">
        <v>38</v>
      </c>
      <c r="F16" s="4">
        <f>IF(E16="","",IF(ABS(E16-D16)&lt;0.05,"✓ Matches","✗ Recheck — spreadsheet says ≈ "&amp;TEXT(D16,"0.0")))</f>
        <v/>
      </c>
    </row>
    <row r="17">
      <c r="A17" s="4" t="inlineStr">
        <is>
          <t>Step 4 · RSS Max (fits 99.9% of the time)</t>
        </is>
      </c>
      <c r="D17" s="16">
        <f>D16-SQRT(SUM(G6:G12))</f>
        <v/>
      </c>
      <c r="E17" s="17" t="n">
        <v>36.6</v>
      </c>
      <c r="F17" s="4">
        <f>IF(E17="","",IF(ABS(E17-D17)&lt;0.05,"✓ Matches","✗ Recheck — spreadsheet says ≈ "&amp;TEXT(D17,"0.0")))</f>
        <v/>
      </c>
    </row>
    <row r="18">
      <c r="A18" s="4" t="inlineStr">
        <is>
          <t>Step 5 · Worst Case (guaranteed fit)</t>
        </is>
      </c>
      <c r="D18" s="16">
        <f>D16-SUM(E6:E12)</f>
        <v/>
      </c>
      <c r="E18" s="17" t="n">
        <v>34.8</v>
      </c>
      <c r="F18" s="4">
        <f>IF(E18="","",IF(ABS(E18-D18)&lt;0.05,"✓ Matches","✗ Recheck — spreadsheet says ≈ "&amp;TEXT(D18,"0.0")))</f>
        <v/>
      </c>
    </row>
    <row r="20">
      <c r="A20" s="14" t="inlineStr">
        <is>
          <t>RSS Max assumes part sizes follow a normal distribution (bell curve). If the distribution is unknown, the Worst Case value is the safe choice.</t>
        </is>
      </c>
    </row>
  </sheetData>
  <mergeCells count="13">
    <mergeCell ref="A14:G14"/>
    <mergeCell ref="A13:C13"/>
    <mergeCell ref="A1:G1"/>
    <mergeCell ref="F16:G16"/>
    <mergeCell ref="A4:G4"/>
    <mergeCell ref="A17:C17"/>
    <mergeCell ref="A18:C18"/>
    <mergeCell ref="F18:G18"/>
    <mergeCell ref="A2:G2"/>
    <mergeCell ref="A20:G20"/>
    <mergeCell ref="A15:C15"/>
    <mergeCell ref="F17:G17"/>
    <mergeCell ref="A16:C16"/>
  </mergeCells>
  <conditionalFormatting sqref="F16:G18">
    <cfRule type="expression" priority="1" dxfId="0">
      <formula>ISNUMBER(SEARCH("✓",F16))</formula>
    </cfRule>
    <cfRule type="expression" priority="2" dxfId="1">
      <formula>ISNUMBER(SEARCH("✗",F16))</formula>
    </cfRule>
  </conditionalFormatting>
  <dataValidations count="1">
    <dataValidation sqref="C6:C12" showDropDown="0" showInputMessage="0" showErrorMessage="0" allowBlank="1" promptTitle="Sign" prompt="1 = same direction as the loop, −1 = opposite direction" type="list">
      <formula1>"1,-1"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G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3" customWidth="1" min="4" max="4"/>
    <col width="13" customWidth="1" min="5" max="5"/>
    <col width="16" customWidth="1" min="6" max="6"/>
    <col width="14" customWidth="1" min="7" max="7"/>
  </cols>
  <sheetData>
    <row r="1" ht="26" customHeight="1">
      <c r="A1" s="5" t="inlineStr">
        <is>
          <t>You Build · Battery HEIGHT (Lesson 3, Steps 6–10)</t>
        </is>
      </c>
    </row>
    <row r="2" ht="34" customHeight="1">
      <c r="A2" s="6" t="inlineStr">
        <is>
          <t>Loop: Battery adhesive (1) → Housing wall (2) → Housing height (3) → Screen adhesive (4) → Safety air gap (5) → Battery height (6). Transfer the values from the “Tolerance Analysis Values for Smartphone Height Dimension” table in the PDF. All dimensions in mm.</t>
        </is>
      </c>
    </row>
    <row r="4">
      <c r="A4" s="3" t="inlineStr">
        <is>
          <t>Steps 6–7 · Build the tolerance loop table — fill the yellow cells from the lesson table. Decide each Sign yourself; the battery row's sign is already set to 1.</t>
        </is>
      </c>
    </row>
    <row r="5" ht="28" customHeight="1">
      <c r="A5" s="7" t="inlineStr">
        <is>
          <t>Component #</t>
        </is>
      </c>
      <c r="B5" s="7" t="inlineStr">
        <is>
          <t>Dimension</t>
        </is>
      </c>
      <c r="C5" s="7" t="inlineStr">
        <is>
          <t>Sign (1 or −1)</t>
        </is>
      </c>
      <c r="D5" s="7" t="inlineStr">
        <is>
          <t>Nominal (mm)</t>
        </is>
      </c>
      <c r="E5" s="7" t="inlineStr">
        <is>
          <t>Tolerance (mm)</t>
        </is>
      </c>
      <c r="F5" s="7" t="inlineStr">
        <is>
          <t>Signed Nominal (mm)</t>
        </is>
      </c>
      <c r="G5" s="7" t="inlineStr">
        <is>
          <t>Tolerance² (mm²)</t>
        </is>
      </c>
    </row>
    <row r="6">
      <c r="A6" s="8" t="n">
        <v>1</v>
      </c>
      <c r="B6" s="9" t="inlineStr">
        <is>
          <t>Battery adhesive</t>
        </is>
      </c>
      <c r="C6" s="8" t="n"/>
      <c r="D6" s="10" t="n"/>
      <c r="E6" s="10" t="n"/>
      <c r="F6" s="10">
        <f>C6*D6</f>
        <v/>
      </c>
      <c r="G6" s="11">
        <f>E6^2</f>
        <v/>
      </c>
    </row>
    <row r="7">
      <c r="A7" s="8" t="n">
        <v>2</v>
      </c>
      <c r="B7" s="9" t="inlineStr">
        <is>
          <t>Housing wall</t>
        </is>
      </c>
      <c r="C7" s="8" t="n"/>
      <c r="D7" s="10" t="n"/>
      <c r="E7" s="10" t="n"/>
      <c r="F7" s="10">
        <f>C7*D7</f>
        <v/>
      </c>
      <c r="G7" s="11">
        <f>E7^2</f>
        <v/>
      </c>
    </row>
    <row r="8">
      <c r="A8" s="8" t="n">
        <v>3</v>
      </c>
      <c r="B8" s="9" t="inlineStr">
        <is>
          <t>Housing height</t>
        </is>
      </c>
      <c r="C8" s="8" t="n"/>
      <c r="D8" s="10" t="n"/>
      <c r="E8" s="10" t="n"/>
      <c r="F8" s="10">
        <f>C8*D8</f>
        <v/>
      </c>
      <c r="G8" s="11">
        <f>E8^2</f>
        <v/>
      </c>
    </row>
    <row r="9">
      <c r="A9" s="8" t="n">
        <v>4</v>
      </c>
      <c r="B9" s="9" t="inlineStr">
        <is>
          <t>Screen adhesive</t>
        </is>
      </c>
      <c r="C9" s="8" t="n"/>
      <c r="D9" s="10" t="n"/>
      <c r="E9" s="10" t="n"/>
      <c r="F9" s="10">
        <f>C9*D9</f>
        <v/>
      </c>
      <c r="G9" s="11">
        <f>E9^2</f>
        <v/>
      </c>
    </row>
    <row r="10">
      <c r="A10" s="8" t="n">
        <v>5</v>
      </c>
      <c r="B10" s="9" t="inlineStr">
        <is>
          <t>Safety air gap</t>
        </is>
      </c>
      <c r="C10" s="8" t="n"/>
      <c r="D10" s="10" t="n"/>
      <c r="E10" s="10" t="n"/>
      <c r="F10" s="10">
        <f>C10*D10</f>
        <v/>
      </c>
      <c r="G10" s="11">
        <f>E10^2</f>
        <v/>
      </c>
    </row>
    <row r="11">
      <c r="A11" s="8" t="n">
        <v>6</v>
      </c>
      <c r="B11" s="9" t="inlineStr">
        <is>
          <t>Battery height</t>
        </is>
      </c>
      <c r="C11" s="8" t="n">
        <v>1</v>
      </c>
      <c r="D11" s="10">
        <f>-SUM(F6:F10)</f>
        <v/>
      </c>
      <c r="E11" s="10" t="n"/>
      <c r="F11" s="10">
        <f>C11*D11</f>
        <v/>
      </c>
      <c r="G11" s="11">
        <f>E11^2</f>
        <v/>
      </c>
    </row>
    <row r="12">
      <c r="A12" s="12" t="inlineStr">
        <is>
          <t>Loop sum — a full loop must equal 0</t>
        </is>
      </c>
      <c r="D12" s="13">
        <f>SUM(F6:F11)</f>
        <v/>
      </c>
      <c r="E12" s="14" t="inlineStr">
        <is>
          <t>← if this isn't 0, check your signs</t>
        </is>
      </c>
    </row>
    <row r="13">
      <c r="A13" s="14" t="inlineStr">
        <is>
          <t>Do each step on paper first, type your answer in the yellow column, then compare with what the spreadsheet computes.</t>
        </is>
      </c>
    </row>
    <row r="14">
      <c r="A14" s="3" t="inlineStr">
        <is>
          <t>Steps 3–5 + 10 · Results</t>
        </is>
      </c>
      <c r="E14" s="15" t="inlineStr">
        <is>
          <t>Hand calc ↓</t>
        </is>
      </c>
    </row>
    <row r="15">
      <c r="A15" s="4" t="inlineStr">
        <is>
          <t>Step 3 · Nominal Battery HEIGHT</t>
        </is>
      </c>
      <c r="D15" s="16">
        <f>-SUM(F6:F10)</f>
        <v/>
      </c>
      <c r="E15" s="17" t="n"/>
      <c r="F15" s="4">
        <f>IF(E15="","",IF(ABS(E15-D15)&lt;0.05,"✓ Matches","✗ Recheck — spreadsheet says ≈ "&amp;TEXT(D15,"0.0")))</f>
        <v/>
      </c>
    </row>
    <row r="16">
      <c r="A16" s="4" t="inlineStr">
        <is>
          <t>Step 4 · RSS Max (fits 99.9% of the time)</t>
        </is>
      </c>
      <c r="D16" s="16">
        <f>D15-SQRT(SUM(G6:G11))</f>
        <v/>
      </c>
      <c r="E16" s="17" t="n"/>
      <c r="F16" s="4">
        <f>IF(E16="","",IF(ABS(E16-D16)&lt;0.05,"✓ Matches","✗ Recheck — spreadsheet says ≈ "&amp;TEXT(D16,"0.0")))</f>
        <v/>
      </c>
    </row>
    <row r="17">
      <c r="A17" s="4" t="inlineStr">
        <is>
          <t>Step 5 · Worst Case (guaranteed fit)</t>
        </is>
      </c>
      <c r="D17" s="16">
        <f>D15-SUM(E6:E11)</f>
        <v/>
      </c>
      <c r="E17" s="17" t="n"/>
      <c r="F17" s="4">
        <f>IF(E17="","",IF(ABS(E17-D17)&lt;0.05,"✓ Matches","✗ Recheck — spreadsheet says ≈ "&amp;TEXT(D17,"0.0")))</f>
        <v/>
      </c>
    </row>
    <row r="18">
      <c r="A18" s="4" t="inlineStr">
        <is>
          <t>Step 10 · % larger with RSS Max vs Worst Case</t>
        </is>
      </c>
      <c r="D18" s="18">
        <f>(D16-D17)/D17</f>
        <v/>
      </c>
      <c r="E18" s="19" t="n"/>
      <c r="F18" s="4">
        <f>IF(E18="","",IF(ABS(E18-D18)&lt;0.005,"✓ Matches","✗ Recheck — spreadsheet says "&amp;TEXT(D18,"0.0%")))</f>
        <v/>
      </c>
    </row>
    <row r="20">
      <c r="A20" s="14" t="inlineStr">
        <is>
          <t>RSS Max assumes part sizes follow a normal distribution (bell curve). If the distribution is unknown, the Worst Case value is the safe choice.</t>
        </is>
      </c>
    </row>
  </sheetData>
  <mergeCells count="15">
    <mergeCell ref="A13:G13"/>
    <mergeCell ref="A1:G1"/>
    <mergeCell ref="F15:G15"/>
    <mergeCell ref="F16:G16"/>
    <mergeCell ref="A14:C14"/>
    <mergeCell ref="A4:G4"/>
    <mergeCell ref="A17:C17"/>
    <mergeCell ref="A18:C18"/>
    <mergeCell ref="F18:G18"/>
    <mergeCell ref="A2:G2"/>
    <mergeCell ref="A20:G20"/>
    <mergeCell ref="A12:C12"/>
    <mergeCell ref="F17:G17"/>
    <mergeCell ref="A16:C16"/>
    <mergeCell ref="A15:C15"/>
  </mergeCells>
  <conditionalFormatting sqref="F15:G18">
    <cfRule type="expression" priority="1" dxfId="0">
      <formula>ISNUMBER(SEARCH("✓",F15))</formula>
    </cfRule>
    <cfRule type="expression" priority="2" dxfId="1">
      <formula>ISNUMBER(SEARCH("✗",F15))</formula>
    </cfRule>
  </conditionalFormatting>
  <dataValidations count="1">
    <dataValidation sqref="C6:C11" showDropDown="0" showInputMessage="0" showErrorMessage="0" allowBlank="1" promptTitle="Sign" prompt="1 = same direction as the loop, −1 = opposite direction" type="list">
      <formula1>"1,-1"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580C"/>
    <outlinePr summaryBelow="1" summaryRight="1"/>
    <pageSetUpPr/>
  </sheetPr>
  <dimension ref="A1:G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3" customWidth="1" min="4" max="4"/>
    <col width="13" customWidth="1" min="5" max="5"/>
    <col width="16" customWidth="1" min="6" max="6"/>
    <col width="14" customWidth="1" min="7" max="7"/>
  </cols>
  <sheetData>
    <row r="1" ht="26" customHeight="1">
      <c r="A1" s="5" t="inlineStr">
        <is>
          <t>You Build · Battery LENGTH (Lesson 3, Step 11)</t>
        </is>
      </c>
    </row>
    <row r="2" ht="34" customHeight="1">
      <c r="A2" s="6" t="inlineStr">
        <is>
          <t>Use the “Cell Phone Length Dimension Values” table in the PDF. All dimensions in mm.</t>
        </is>
      </c>
    </row>
    <row r="4">
      <c r="A4" s="3" t="inlineStr">
        <is>
          <t>Step 11 · Repeat the full analysis (Steps 1–5) for the length dimension — fill the yellow cells from the lesson table. Decide each Sign yourself; the battery row's sign is already set to 1.</t>
        </is>
      </c>
    </row>
    <row r="5" ht="28" customHeight="1">
      <c r="A5" s="7" t="inlineStr">
        <is>
          <t>Component #</t>
        </is>
      </c>
      <c r="B5" s="7" t="inlineStr">
        <is>
          <t>Dimension</t>
        </is>
      </c>
      <c r="C5" s="7" t="inlineStr">
        <is>
          <t>Sign (1 or −1)</t>
        </is>
      </c>
      <c r="D5" s="7" t="inlineStr">
        <is>
          <t>Nominal (mm)</t>
        </is>
      </c>
      <c r="E5" s="7" t="inlineStr">
        <is>
          <t>Tolerance (mm)</t>
        </is>
      </c>
      <c r="F5" s="7" t="inlineStr">
        <is>
          <t>Signed Nominal (mm)</t>
        </is>
      </c>
      <c r="G5" s="7" t="inlineStr">
        <is>
          <t>Tolerance² (mm²)</t>
        </is>
      </c>
    </row>
    <row r="6">
      <c r="A6" s="8" t="n">
        <v>1</v>
      </c>
      <c r="B6" s="9" t="inlineStr">
        <is>
          <t>Battery charging circuit board</t>
        </is>
      </c>
      <c r="C6" s="8" t="n"/>
      <c r="D6" s="10" t="n"/>
      <c r="E6" s="10" t="n"/>
      <c r="F6" s="10">
        <f>C6*D6</f>
        <v/>
      </c>
      <c r="G6" s="11">
        <f>E6^2</f>
        <v/>
      </c>
    </row>
    <row r="7">
      <c r="A7" s="8" t="n">
        <v>2</v>
      </c>
      <c r="B7" s="9" t="inlineStr">
        <is>
          <t>Speaker</t>
        </is>
      </c>
      <c r="C7" s="8" t="n"/>
      <c r="D7" s="10" t="n"/>
      <c r="E7" s="10" t="n"/>
      <c r="F7" s="10">
        <f>C7*D7</f>
        <v/>
      </c>
      <c r="G7" s="11">
        <f>E7^2</f>
        <v/>
      </c>
    </row>
    <row r="8">
      <c r="A8" s="8" t="n">
        <v>3</v>
      </c>
      <c r="B8" s="9" t="inlineStr">
        <is>
          <t>Wall thickness</t>
        </is>
      </c>
      <c r="C8" s="8" t="n"/>
      <c r="D8" s="10" t="n"/>
      <c r="E8" s="10" t="n"/>
      <c r="F8" s="10">
        <f>C8*D8</f>
        <v/>
      </c>
      <c r="G8" s="11">
        <f>E8^2</f>
        <v/>
      </c>
    </row>
    <row r="9">
      <c r="A9" s="8" t="n">
        <v>4</v>
      </c>
      <c r="B9" s="9" t="inlineStr">
        <is>
          <t>Phone length</t>
        </is>
      </c>
      <c r="C9" s="8" t="n"/>
      <c r="D9" s="10" t="n"/>
      <c r="E9" s="10" t="n"/>
      <c r="F9" s="10">
        <f>C9*D9</f>
        <v/>
      </c>
      <c r="G9" s="11">
        <f>E9^2</f>
        <v/>
      </c>
    </row>
    <row r="10">
      <c r="A10" s="8" t="n">
        <v>5</v>
      </c>
      <c r="B10" s="9" t="inlineStr">
        <is>
          <t>Wall thickness</t>
        </is>
      </c>
      <c r="C10" s="8" t="n"/>
      <c r="D10" s="10" t="n"/>
      <c r="E10" s="10" t="n"/>
      <c r="F10" s="10">
        <f>C10*D10</f>
        <v/>
      </c>
      <c r="G10" s="11">
        <f>E10^2</f>
        <v/>
      </c>
    </row>
    <row r="11">
      <c r="A11" s="8" t="n">
        <v>6</v>
      </c>
      <c r="B11" s="9" t="inlineStr">
        <is>
          <t>Camera length</t>
        </is>
      </c>
      <c r="C11" s="8" t="n"/>
      <c r="D11" s="10" t="n"/>
      <c r="E11" s="10" t="n"/>
      <c r="F11" s="10">
        <f>C11*D11</f>
        <v/>
      </c>
      <c r="G11" s="11">
        <f>E11^2</f>
        <v/>
      </c>
    </row>
    <row r="12">
      <c r="A12" s="8" t="n">
        <v>7</v>
      </c>
      <c r="B12" s="9" t="inlineStr">
        <is>
          <t>Battery length</t>
        </is>
      </c>
      <c r="C12" s="8" t="n">
        <v>1</v>
      </c>
      <c r="D12" s="10">
        <f>-SUM(F6:F11)</f>
        <v/>
      </c>
      <c r="E12" s="10" t="n"/>
      <c r="F12" s="10">
        <f>C12*D12</f>
        <v/>
      </c>
      <c r="G12" s="11">
        <f>E12^2</f>
        <v/>
      </c>
    </row>
    <row r="13">
      <c r="A13" s="12" t="inlineStr">
        <is>
          <t>Loop sum — a full loop must equal 0</t>
        </is>
      </c>
      <c r="D13" s="13">
        <f>SUM(F6:F12)</f>
        <v/>
      </c>
      <c r="E13" s="14" t="inlineStr">
        <is>
          <t>← if this isn't 0, check your signs</t>
        </is>
      </c>
    </row>
    <row r="14">
      <c r="A14" s="14" t="inlineStr">
        <is>
          <t>Do each step on paper first, type your answer in the yellow column, then compare with what the spreadsheet computes.</t>
        </is>
      </c>
    </row>
    <row r="15">
      <c r="A15" s="3" t="inlineStr">
        <is>
          <t>Steps 3–5 · Results</t>
        </is>
      </c>
      <c r="E15" s="15" t="inlineStr">
        <is>
          <t>Hand calc ↓</t>
        </is>
      </c>
    </row>
    <row r="16">
      <c r="A16" s="4" t="inlineStr">
        <is>
          <t>Step 3 · Nominal Battery LENGTH</t>
        </is>
      </c>
      <c r="D16" s="16">
        <f>-SUM(F6:F11)</f>
        <v/>
      </c>
      <c r="E16" s="17" t="n"/>
      <c r="F16" s="4">
        <f>IF(E16="","",IF(ABS(E16-D16)&lt;0.05,"✓ Matches","✗ Recheck — spreadsheet says ≈ "&amp;TEXT(D16,"0.0")))</f>
        <v/>
      </c>
    </row>
    <row r="17">
      <c r="A17" s="4" t="inlineStr">
        <is>
          <t>Step 4 · RSS Max (fits 99.9% of the time)</t>
        </is>
      </c>
      <c r="D17" s="16">
        <f>D16-SQRT(SUM(G6:G12))</f>
        <v/>
      </c>
      <c r="E17" s="17" t="n"/>
      <c r="F17" s="4">
        <f>IF(E17="","",IF(ABS(E17-D17)&lt;0.05,"✓ Matches","✗ Recheck — spreadsheet says ≈ "&amp;TEXT(D17,"0.0")))</f>
        <v/>
      </c>
    </row>
    <row r="18">
      <c r="A18" s="4" t="inlineStr">
        <is>
          <t>Step 5 · Worst Case (guaranteed fit)</t>
        </is>
      </c>
      <c r="D18" s="16">
        <f>D16-SUM(E6:E12)</f>
        <v/>
      </c>
      <c r="E18" s="17" t="n"/>
      <c r="F18" s="4">
        <f>IF(E18="","",IF(ABS(E18-D18)&lt;0.05,"✓ Matches","✗ Recheck — spreadsheet says ≈ "&amp;TEXT(D18,"0.0")))</f>
        <v/>
      </c>
    </row>
    <row r="20">
      <c r="A20" s="14" t="inlineStr">
        <is>
          <t>RSS Max assumes part sizes follow a normal distribution (bell curve). If the distribution is unknown, the Worst Case value is the safe choice.</t>
        </is>
      </c>
    </row>
  </sheetData>
  <mergeCells count="13">
    <mergeCell ref="A14:G14"/>
    <mergeCell ref="A13:C13"/>
    <mergeCell ref="A1:G1"/>
    <mergeCell ref="F16:G16"/>
    <mergeCell ref="A4:G4"/>
    <mergeCell ref="A17:C17"/>
    <mergeCell ref="A18:C18"/>
    <mergeCell ref="F18:G18"/>
    <mergeCell ref="A2:G2"/>
    <mergeCell ref="A20:G20"/>
    <mergeCell ref="A15:C15"/>
    <mergeCell ref="F17:G17"/>
    <mergeCell ref="A16:C16"/>
  </mergeCells>
  <conditionalFormatting sqref="F16:G18">
    <cfRule type="expression" priority="1" dxfId="0">
      <formula>ISNUMBER(SEARCH("✓",F16))</formula>
    </cfRule>
    <cfRule type="expression" priority="2" dxfId="1">
      <formula>ISNUMBER(SEARCH("✗",F16))</formula>
    </cfRule>
  </conditionalFormatting>
  <dataValidations count="1">
    <dataValidation sqref="C6:C12" showDropDown="0" showInputMessage="0" showErrorMessage="0" allowBlank="1" promptTitle="Sign" prompt="1 = same direction as the loop, −1 = opposite direction" type="list">
      <formula1>"1,-1"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5" t="inlineStr">
        <is>
          <t>Conclusion — Lesson 4</t>
        </is>
      </c>
    </row>
    <row r="2" ht="34" customHeight="1">
      <c r="A2" s="6" t="inlineStr">
        <is>
          <t>Answer in complete sentences. Reference your RSS Max vs Worst Case numbers from the Height and Length tabs wherever it helps your argument.</t>
        </is>
      </c>
    </row>
    <row r="4" ht="30" customHeight="1">
      <c r="A4" s="20" t="inlineStr">
        <is>
          <t>Question 1 — Why is it usually not sufficient to give only a nominal value for a part dimension?</t>
        </is>
      </c>
    </row>
    <row r="5" ht="20" customHeight="1">
      <c r="A5" s="21" t="n"/>
      <c r="B5" s="22" t="n"/>
      <c r="C5" s="22" t="n"/>
      <c r="D5" s="22" t="n"/>
      <c r="E5" s="22" t="n"/>
      <c r="F5" s="22" t="n"/>
      <c r="G5" s="22" t="n"/>
      <c r="H5" s="22" t="n"/>
    </row>
    <row r="6" ht="20" customHeight="1">
      <c r="A6" s="22" t="n"/>
      <c r="B6" s="22" t="n"/>
      <c r="C6" s="22" t="n"/>
      <c r="D6" s="22" t="n"/>
      <c r="E6" s="22" t="n"/>
      <c r="F6" s="22" t="n"/>
      <c r="G6" s="22" t="n"/>
      <c r="H6" s="22" t="n"/>
    </row>
    <row r="7" ht="20" customHeight="1">
      <c r="A7" s="22" t="n"/>
      <c r="B7" s="22" t="n"/>
      <c r="C7" s="22" t="n"/>
      <c r="D7" s="22" t="n"/>
      <c r="E7" s="22" t="n"/>
      <c r="F7" s="22" t="n"/>
      <c r="G7" s="22" t="n"/>
      <c r="H7" s="22" t="n"/>
    </row>
    <row r="8" ht="20" customHeight="1">
      <c r="A8" s="22" t="n"/>
      <c r="B8" s="22" t="n"/>
      <c r="C8" s="22" t="n"/>
      <c r="D8" s="22" t="n"/>
      <c r="E8" s="22" t="n"/>
      <c r="F8" s="22" t="n"/>
      <c r="G8" s="22" t="n"/>
      <c r="H8" s="22" t="n"/>
    </row>
    <row r="9" ht="20" customHeight="1">
      <c r="A9" s="22" t="n"/>
      <c r="B9" s="22" t="n"/>
      <c r="C9" s="22" t="n"/>
      <c r="D9" s="22" t="n"/>
      <c r="E9" s="22" t="n"/>
      <c r="F9" s="22" t="n"/>
      <c r="G9" s="22" t="n"/>
      <c r="H9" s="22" t="n"/>
    </row>
    <row r="11" ht="30" customHeight="1">
      <c r="A11" s="20" t="inlineStr">
        <is>
          <t>Question 2 — What strategies could be used to maximize the available space for the battery example?</t>
        </is>
      </c>
    </row>
    <row r="12" ht="20" customHeight="1">
      <c r="A12" s="21" t="n"/>
      <c r="B12" s="22" t="n"/>
      <c r="C12" s="22" t="n"/>
      <c r="D12" s="22" t="n"/>
      <c r="E12" s="22" t="n"/>
      <c r="F12" s="22" t="n"/>
      <c r="G12" s="22" t="n"/>
      <c r="H12" s="22" t="n"/>
    </row>
    <row r="13" ht="20" customHeight="1">
      <c r="A13" s="22" t="n"/>
      <c r="B13" s="22" t="n"/>
      <c r="C13" s="22" t="n"/>
      <c r="D13" s="22" t="n"/>
      <c r="E13" s="22" t="n"/>
      <c r="F13" s="22" t="n"/>
      <c r="G13" s="22" t="n"/>
      <c r="H13" s="22" t="n"/>
    </row>
    <row r="14" ht="20" customHeight="1">
      <c r="A14" s="22" t="n"/>
      <c r="B14" s="22" t="n"/>
      <c r="C14" s="22" t="n"/>
      <c r="D14" s="22" t="n"/>
      <c r="E14" s="22" t="n"/>
      <c r="F14" s="22" t="n"/>
      <c r="G14" s="22" t="n"/>
      <c r="H14" s="22" t="n"/>
    </row>
    <row r="15" ht="20" customHeight="1">
      <c r="A15" s="22" t="n"/>
      <c r="B15" s="22" t="n"/>
      <c r="C15" s="22" t="n"/>
      <c r="D15" s="22" t="n"/>
      <c r="E15" s="22" t="n"/>
      <c r="F15" s="22" t="n"/>
      <c r="G15" s="22" t="n"/>
      <c r="H15" s="22" t="n"/>
    </row>
    <row r="16" ht="20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</row>
    <row r="18" ht="30" customHeight="1">
      <c r="A18" s="20" t="inlineStr">
        <is>
          <t>Question 3 — What factors contribute to how big or small a tolerance value can be?</t>
        </is>
      </c>
    </row>
    <row r="19" ht="20" customHeight="1">
      <c r="A19" s="21" t="n"/>
      <c r="B19" s="22" t="n"/>
      <c r="C19" s="22" t="n"/>
      <c r="D19" s="22" t="n"/>
      <c r="E19" s="22" t="n"/>
      <c r="F19" s="22" t="n"/>
      <c r="G19" s="22" t="n"/>
      <c r="H19" s="22" t="n"/>
    </row>
    <row r="20" ht="20" customHeight="1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1" ht="20" customHeight="1">
      <c r="A21" s="22" t="n"/>
      <c r="B21" s="22" t="n"/>
      <c r="C21" s="22" t="n"/>
      <c r="D21" s="22" t="n"/>
      <c r="E21" s="22" t="n"/>
      <c r="F21" s="22" t="n"/>
      <c r="G21" s="22" t="n"/>
      <c r="H21" s="22" t="n"/>
    </row>
    <row r="22" ht="20" customHeight="1">
      <c r="A22" s="22" t="n"/>
      <c r="B22" s="22" t="n"/>
      <c r="C22" s="22" t="n"/>
      <c r="D22" s="22" t="n"/>
      <c r="E22" s="22" t="n"/>
      <c r="F22" s="22" t="n"/>
      <c r="G22" s="22" t="n"/>
      <c r="H22" s="22" t="n"/>
    </row>
    <row r="23" ht="20" customHeight="1">
      <c r="A23" s="22" t="n"/>
      <c r="B23" s="22" t="n"/>
      <c r="C23" s="22" t="n"/>
      <c r="D23" s="22" t="n"/>
      <c r="E23" s="22" t="n"/>
      <c r="F23" s="22" t="n"/>
      <c r="G23" s="22" t="n"/>
      <c r="H23" s="22" t="n"/>
    </row>
  </sheetData>
  <mergeCells count="8">
    <mergeCell ref="A18:H18"/>
    <mergeCell ref="A4:H4"/>
    <mergeCell ref="A5:H9"/>
    <mergeCell ref="A12:H16"/>
    <mergeCell ref="A1:G1"/>
    <mergeCell ref="A19:H23"/>
    <mergeCell ref="A2:G2"/>
    <mergeCell ref="A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2026-09-10T12:31:09Z</dcterms:created>
  <dcterms:modified xsi:type="dcterms:W3CDTF">2026-09-10T12:31:09Z</dcterms:modified>
</cp:coreProperties>
</file>