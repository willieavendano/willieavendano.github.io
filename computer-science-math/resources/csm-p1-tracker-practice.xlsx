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Food Table" sheetId="2" state="visible" r:id="rId2"/>
    <sheet name="1 Lookup Basics" sheetId="3" state="visible" r:id="rId3"/>
    <sheet name="2 SUMIF &amp; AVERAGEIF" sheetId="4" state="visible" r:id="rId4"/>
    <sheet name="3 Add A Food" sheetId="5" state="visible" r:id="rId5"/>
    <sheet name="4 Hard-Coded H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0.0"/>
    <numFmt numFmtId="166" formatCode="#,##0.0"/>
  </numFmts>
  <fonts count="6">
    <font>
      <name val="Calibri"/>
      <family val="2"/>
      <color theme="1"/>
      <sz val="11"/>
      <scheme val="minor"/>
    </font>
    <font>
      <b val="1"/>
      <color rgb="000E406A"/>
      <sz val="16"/>
    </font>
    <font>
      <b val="1"/>
    </font>
    <font>
      <b val="1"/>
      <color rgb="00FFFFFF"/>
    </font>
    <font>
      <b val="1"/>
      <color rgb="000E406A"/>
      <sz val="12"/>
    </font>
    <font>
      <i val="1"/>
      <color rgb="0055504A"/>
    </font>
  </fonts>
  <fills count="10">
    <fill>
      <patternFill/>
    </fill>
    <fill>
      <patternFill patternType="gray125"/>
    </fill>
    <fill>
      <patternFill patternType="solid">
        <fgColor rgb="000E406A"/>
      </patternFill>
    </fill>
    <fill>
      <patternFill patternType="solid">
        <fgColor rgb="00DDEBD3"/>
      </patternFill>
    </fill>
    <fill>
      <patternFill patternType="solid">
        <fgColor rgb="00F3EFE7"/>
      </patternFill>
    </fill>
    <fill>
      <patternFill patternType="solid">
        <fgColor rgb="00D9E8F5"/>
      </patternFill>
    </fill>
    <fill>
      <patternFill patternType="solid">
        <fgColor rgb="00F7D6D0"/>
      </patternFill>
    </fill>
    <fill>
      <patternFill patternType="solid">
        <fgColor rgb="00FBE7C6"/>
      </patternFill>
    </fill>
    <fill>
      <patternFill patternType="solid">
        <fgColor rgb="00E7DDF2"/>
      </patternFill>
    </fill>
    <fill>
      <patternFill patternType="solid">
        <fgColor rgb="00E8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Cornerstone I Practice — Food &amp; Macro Tracker</t>
        </is>
      </c>
    </row>
    <row r="3" ht="39" customHeight="1">
      <c r="A3" s="2" t="inlineStr">
        <is>
          <t>What this is</t>
        </is>
      </c>
      <c r="B3" s="3" t="inlineStr">
        <is>
          <t>Four drills that build the exact machine the cornerstone asks you to build. Nothing here is graded; this is where you break the lookup cheaply so it does not break on presentation day.</t>
        </is>
      </c>
    </row>
    <row r="4" ht="39" customHeight="1">
      <c r="A4" s="2" t="inlineStr">
        <is>
          <t>The two moves</t>
        </is>
      </c>
      <c r="B4" s="3" t="inlineStr">
        <is>
          <t>Almost everything in this project is one of two moves: LOOK a food up in the reference table (VLOOKUP), or AGGREGATE a column of the log (SUMIF / AVERAGEIF). Learn both here and the cornerstone is just a bigger version of the same file.</t>
        </is>
      </c>
    </row>
    <row r="5" ht="26" customHeight="1">
      <c r="A5" s="2" t="inlineStr">
        <is>
          <t>Type it and it lies</t>
        </is>
      </c>
      <c r="B5" s="3" t="inlineStr">
        <is>
          <t>If you type a result into a cell, you drew a picture of a model instead of building one. Change a serving; if nothing moves, that number was typed.</t>
        </is>
      </c>
    </row>
    <row r="6" ht="26" customHeight="1">
      <c r="A6" s="2" t="inlineStr">
        <is>
          <t>When you are done</t>
        </is>
      </c>
      <c r="B6" s="3" t="inlineStr">
        <is>
          <t>You should be able to answer: why does a VLOOKUP fail with #N/A, and what are the two honest fixes?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3" customWidth="1" min="4" max="4"/>
    <col width="12" customWidth="1" min="5" max="5"/>
    <col width="10" customWidth="1" min="6" max="6"/>
    <col width="24" customWidth="1" min="7" max="7"/>
    <col width="3" customWidth="1" min="8" max="8"/>
    <col width="30" customWidth="1" min="9" max="9"/>
    <col width="16" customWidth="1" min="10" max="10"/>
  </cols>
  <sheetData>
    <row r="1">
      <c r="A1" s="4" t="inlineStr">
        <is>
          <t>Food</t>
        </is>
      </c>
      <c r="B1" s="4" t="inlineStr">
        <is>
          <t>Serving</t>
        </is>
      </c>
      <c r="C1" s="4" t="inlineStr">
        <is>
          <t>Calories</t>
        </is>
      </c>
      <c r="D1" s="4" t="inlineStr">
        <is>
          <t>Protein (g)</t>
        </is>
      </c>
      <c r="E1" s="4" t="inlineStr">
        <is>
          <t>Carbs (g)</t>
        </is>
      </c>
      <c r="F1" s="4" t="inlineStr">
        <is>
          <t>Fat (g)</t>
        </is>
      </c>
      <c r="G1" s="4" t="inlineStr">
        <is>
          <t>Source</t>
        </is>
      </c>
    </row>
    <row r="2">
      <c r="A2" t="inlineStr">
        <is>
          <t>Egg, large</t>
        </is>
      </c>
      <c r="B2" t="inlineStr">
        <is>
          <t>1 egg</t>
        </is>
      </c>
      <c r="C2" t="n">
        <v>72</v>
      </c>
      <c r="D2" t="n">
        <v>6.3</v>
      </c>
      <c r="E2" t="n">
        <v>0.4</v>
      </c>
      <c r="F2" t="n">
        <v>4.8</v>
      </c>
      <c r="G2" s="5" t="inlineStr">
        <is>
          <t>USDA FoodData Central</t>
        </is>
      </c>
      <c r="I2" s="6" t="inlineStr">
        <is>
          <t>SOURCE KEY — colour = where the number came from</t>
        </is>
      </c>
    </row>
    <row r="3">
      <c r="A3" s="7" t="inlineStr">
        <is>
          <t>White rice, cooked</t>
        </is>
      </c>
      <c r="B3" s="7" t="inlineStr">
        <is>
          <t>1 cup</t>
        </is>
      </c>
      <c r="C3" s="7" t="n">
        <v>205</v>
      </c>
      <c r="D3" s="7" t="n">
        <v>4.3</v>
      </c>
      <c r="E3" s="7" t="n">
        <v>44.5</v>
      </c>
      <c r="F3" s="7" t="n">
        <v>0.4</v>
      </c>
      <c r="G3" s="5" t="inlineStr">
        <is>
          <t>USDA FoodData Central</t>
        </is>
      </c>
      <c r="I3" s="8" t="inlineStr">
        <is>
          <t>MyFitnessPal</t>
        </is>
      </c>
    </row>
    <row r="4">
      <c r="A4" t="inlineStr">
        <is>
          <t>Chicken breast, grilled</t>
        </is>
      </c>
      <c r="B4" t="inlineStr">
        <is>
          <t>100 g</t>
        </is>
      </c>
      <c r="C4" t="n">
        <v>165</v>
      </c>
      <c r="D4" t="n">
        <v>31</v>
      </c>
      <c r="E4" t="n">
        <v>0</v>
      </c>
      <c r="F4" t="n">
        <v>3.6</v>
      </c>
      <c r="G4" s="5" t="inlineStr">
        <is>
          <t>USDA FoodData Central</t>
        </is>
      </c>
      <c r="I4" s="5" t="inlineStr">
        <is>
          <t>USDA FoodData Central</t>
        </is>
      </c>
    </row>
    <row r="5">
      <c r="A5" s="7" t="inlineStr">
        <is>
          <t>Black beans, cooked</t>
        </is>
      </c>
      <c r="B5" s="7" t="inlineStr">
        <is>
          <t>1 cup</t>
        </is>
      </c>
      <c r="C5" s="7" t="n">
        <v>227</v>
      </c>
      <c r="D5" s="7" t="n">
        <v>15.2</v>
      </c>
      <c r="E5" s="7" t="n">
        <v>40.8</v>
      </c>
      <c r="F5" s="7" t="n">
        <v>0.9</v>
      </c>
      <c r="G5" s="5" t="inlineStr">
        <is>
          <t>USDA FoodData Central</t>
        </is>
      </c>
      <c r="I5" s="9" t="inlineStr">
        <is>
          <t>Open Food Facts</t>
        </is>
      </c>
    </row>
    <row r="6">
      <c r="A6" t="inlineStr">
        <is>
          <t>Cafecito con azucar (Cuban coffee, sweet)</t>
        </is>
      </c>
      <c r="B6" t="inlineStr">
        <is>
          <t>1 cup (8 oz)</t>
        </is>
      </c>
      <c r="C6" t="n">
        <v>40</v>
      </c>
      <c r="D6" t="n">
        <v>0.5</v>
      </c>
      <c r="E6" t="n">
        <v>8</v>
      </c>
      <c r="F6" t="n">
        <v>1</v>
      </c>
      <c r="G6" s="8" t="inlineStr">
        <is>
          <t>MyFitnessPal</t>
        </is>
      </c>
      <c r="I6" s="10" t="inlineStr">
        <is>
          <t>Manufacturer label</t>
        </is>
      </c>
    </row>
    <row r="7">
      <c r="A7" s="7" t="inlineStr">
        <is>
          <t>Plantain, fried (maduros)</t>
        </is>
      </c>
      <c r="B7" s="7" t="inlineStr">
        <is>
          <t>1 cup</t>
        </is>
      </c>
      <c r="C7" s="7" t="n">
        <v>250</v>
      </c>
      <c r="D7" s="7" t="n">
        <v>1.4</v>
      </c>
      <c r="E7" s="7" t="n">
        <v>47</v>
      </c>
      <c r="F7" s="7" t="n">
        <v>8.6</v>
      </c>
      <c r="G7" s="11" t="inlineStr">
        <is>
          <t>Restaurant nutrition</t>
        </is>
      </c>
      <c r="I7" s="11" t="inlineStr">
        <is>
          <t>Restaurant nutrition</t>
        </is>
      </c>
    </row>
    <row r="8">
      <c r="A8" t="inlineStr">
        <is>
          <t>Ropa vieja (shredded beef)</t>
        </is>
      </c>
      <c r="B8" t="inlineStr">
        <is>
          <t>1 cup</t>
        </is>
      </c>
      <c r="C8" t="n">
        <v>285</v>
      </c>
      <c r="D8" t="n">
        <v>26</v>
      </c>
      <c r="E8" t="n">
        <v>8</v>
      </c>
      <c r="F8" t="n">
        <v>17</v>
      </c>
      <c r="G8" s="11" t="inlineStr">
        <is>
          <t>Restaurant nutrition</t>
        </is>
      </c>
      <c r="I8" s="12" t="inlineStr">
        <is>
          <t>Estimate / other</t>
        </is>
      </c>
    </row>
    <row r="9">
      <c r="A9" s="7" t="inlineStr">
        <is>
          <t>Yuca con mojo</t>
        </is>
      </c>
      <c r="B9" s="7" t="inlineStr">
        <is>
          <t>1 cup</t>
        </is>
      </c>
      <c r="C9" s="7" t="n">
        <v>220</v>
      </c>
      <c r="D9" s="7" t="n">
        <v>1.6</v>
      </c>
      <c r="E9" s="7" t="n">
        <v>52</v>
      </c>
      <c r="F9" s="7" t="n">
        <v>0.3</v>
      </c>
      <c r="G9" s="11" t="inlineStr">
        <is>
          <t>Restaurant nutrition</t>
        </is>
      </c>
    </row>
    <row r="10">
      <c r="A10" t="inlineStr">
        <is>
          <t>Avocado</t>
        </is>
      </c>
      <c r="B10" t="inlineStr">
        <is>
          <t>1/2 fruit</t>
        </is>
      </c>
      <c r="C10" t="n">
        <v>160</v>
      </c>
      <c r="D10" t="n">
        <v>2</v>
      </c>
      <c r="E10" t="n">
        <v>8.5</v>
      </c>
      <c r="F10" t="n">
        <v>14.7</v>
      </c>
      <c r="G10" s="5" t="inlineStr">
        <is>
          <t>USDA FoodData Central</t>
        </is>
      </c>
      <c r="I10" s="3" t="inlineStr">
        <is>
          <t>Rows 17-20 are left empty on purpose. Adding a food there — not typing it into the log — is how the whole workbook grows.</t>
        </is>
      </c>
    </row>
    <row r="11">
      <c r="A11" s="7" t="inlineStr">
        <is>
          <t>Croqueta (ham)</t>
        </is>
      </c>
      <c r="B11" s="7" t="inlineStr">
        <is>
          <t>1 piece</t>
        </is>
      </c>
      <c r="C11" s="7" t="n">
        <v>130</v>
      </c>
      <c r="D11" s="7" t="n">
        <v>4</v>
      </c>
      <c r="E11" s="7" t="n">
        <v>10</v>
      </c>
      <c r="F11" s="7" t="n">
        <v>8</v>
      </c>
      <c r="G11" s="9" t="inlineStr">
        <is>
          <t>Open Food Facts</t>
        </is>
      </c>
    </row>
    <row r="12">
      <c r="A12" t="inlineStr">
        <is>
          <t>Whole wheat bread</t>
        </is>
      </c>
      <c r="B12" t="inlineStr">
        <is>
          <t>1 slice</t>
        </is>
      </c>
      <c r="C12" t="n">
        <v>81</v>
      </c>
      <c r="D12" t="n">
        <v>4</v>
      </c>
      <c r="E12" t="n">
        <v>13.8</v>
      </c>
      <c r="F12" t="n">
        <v>1.1</v>
      </c>
      <c r="G12" s="10" t="inlineStr">
        <is>
          <t>Manufacturer label</t>
        </is>
      </c>
    </row>
    <row r="13">
      <c r="A13" s="7" t="inlineStr">
        <is>
          <t>Greek yogurt, plain</t>
        </is>
      </c>
      <c r="B13" s="7" t="inlineStr">
        <is>
          <t>1 cup (170 g)</t>
        </is>
      </c>
      <c r="C13" s="7" t="n">
        <v>100</v>
      </c>
      <c r="D13" s="7" t="n">
        <v>17</v>
      </c>
      <c r="E13" s="7" t="n">
        <v>6</v>
      </c>
      <c r="F13" s="7" t="n">
        <v>0.7</v>
      </c>
      <c r="G13" s="9" t="inlineStr">
        <is>
          <t>Open Food Facts</t>
        </is>
      </c>
    </row>
    <row r="14">
      <c r="A14" t="inlineStr">
        <is>
          <t>Banana</t>
        </is>
      </c>
      <c r="B14" t="inlineStr">
        <is>
          <t>1 medium</t>
        </is>
      </c>
      <c r="C14" t="n">
        <v>105</v>
      </c>
      <c r="D14" t="n">
        <v>1.3</v>
      </c>
      <c r="E14" t="n">
        <v>27</v>
      </c>
      <c r="F14" t="n">
        <v>0.4</v>
      </c>
      <c r="G14" s="5" t="inlineStr">
        <is>
          <t>USDA FoodData Central</t>
        </is>
      </c>
    </row>
    <row r="15">
      <c r="A15" s="7" t="inlineStr">
        <is>
          <t>Pizza slice, cheese</t>
        </is>
      </c>
      <c r="B15" s="7" t="inlineStr">
        <is>
          <t>1 slice</t>
        </is>
      </c>
      <c r="C15" s="7" t="n">
        <v>285</v>
      </c>
      <c r="D15" s="7" t="n">
        <v>12.2</v>
      </c>
      <c r="E15" s="7" t="n">
        <v>35.7</v>
      </c>
      <c r="F15" s="7" t="n">
        <v>10.4</v>
      </c>
      <c r="G15" s="11" t="inlineStr">
        <is>
          <t>Restaurant nutrition</t>
        </is>
      </c>
    </row>
    <row r="16">
      <c r="A16" t="inlineStr">
        <is>
          <t>Cafe con leche</t>
        </is>
      </c>
      <c r="B16" t="inlineStr">
        <is>
          <t>1 cup (8 oz)</t>
        </is>
      </c>
      <c r="C16" t="n">
        <v>110</v>
      </c>
      <c r="D16" t="n">
        <v>5</v>
      </c>
      <c r="E16" t="n">
        <v>11</v>
      </c>
      <c r="F16" t="n">
        <v>5</v>
      </c>
      <c r="G16" s="12" t="inlineStr">
        <is>
          <t>Estimate /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2" customWidth="1" min="3" max="3"/>
    <col width="30" customWidth="1" min="4" max="4"/>
  </cols>
  <sheetData>
    <row r="1">
      <c r="A1" s="1" t="inlineStr">
        <is>
          <t>Drill 1 — Look it up, then break it on purpose</t>
        </is>
      </c>
    </row>
    <row r="2">
      <c r="A2" s="13" t="inlineStr">
        <is>
          <t>The 15-food reference table lives on the 'Food Table' tab. Never retype its numbers.</t>
        </is>
      </c>
    </row>
    <row r="4">
      <c r="A4" s="6" t="inlineStr">
        <is>
          <t>YOUR TURN — write a real VLOOKUP in each shaded cell</t>
        </is>
      </c>
    </row>
    <row r="5">
      <c r="A5" s="2" t="inlineStr">
        <is>
          <t>Food to look up</t>
        </is>
      </c>
      <c r="B5" s="7" t="inlineStr">
        <is>
          <t>Ropa vieja (shredded beef)</t>
        </is>
      </c>
      <c r="C5" s="3" t="inlineStr">
        <is>
          <t>This exact spelling must exist in the Food Table. Case does not matter to VLOOKUP.</t>
        </is>
      </c>
    </row>
    <row r="6">
      <c r="A6" s="2" t="inlineStr">
        <is>
          <t>Calories</t>
        </is>
      </c>
      <c r="B6" s="7" t="n"/>
      <c r="C6" s="13" t="inlineStr">
        <is>
          <t>Hint: =VLOOKUP($B$5,'Food Table'!$A$2:$G$20,3,FALSE)</t>
        </is>
      </c>
    </row>
    <row r="7">
      <c r="A7" s="2" t="inlineStr">
        <is>
          <t>Protein (g)</t>
        </is>
      </c>
      <c r="B7" s="7" t="n"/>
      <c r="C7" s="13" t="inlineStr">
        <is>
          <t>Hint: =VLOOKUP($B$5,'Food Table'!$A$2:$G$20,4,FALSE)</t>
        </is>
      </c>
    </row>
    <row r="8">
      <c r="A8" s="2" t="inlineStr">
        <is>
          <t>Carbs (g)</t>
        </is>
      </c>
      <c r="B8" s="7" t="n"/>
      <c r="C8" s="13" t="inlineStr">
        <is>
          <t>Hint: =VLOOKUP($B$5,'Food Table'!$A$2:$G$20,5,FALSE)</t>
        </is>
      </c>
    </row>
    <row r="9">
      <c r="A9" s="2" t="inlineStr">
        <is>
          <t>Fat (g)</t>
        </is>
      </c>
      <c r="B9" s="7" t="n"/>
      <c r="C9" s="13" t="inlineStr">
        <is>
          <t>Hint: =VLOOKUP($B$5,'Food Table'!$A$2:$G$20,6,FALSE)</t>
        </is>
      </c>
    </row>
    <row r="10">
      <c r="A10" s="2" t="inlineStr">
        <is>
          <t>Source</t>
        </is>
      </c>
      <c r="B10" s="7" t="n"/>
      <c r="C10" s="13" t="inlineStr">
        <is>
          <t>Hint: =VLOOKUP($B$5,'Food Table'!$A$2:$G$20,7,FALSE)</t>
        </is>
      </c>
    </row>
    <row r="12">
      <c r="A12" s="3" t="inlineStr">
        <is>
          <t>Notice the $ signs: $A$2:$G$20 is locked so the range does not slide when you copy the formula down. That is the single most common VLOOKUP mistake.</t>
        </is>
      </c>
    </row>
    <row r="14">
      <c r="A14" s="6" t="inlineStr">
        <is>
          <t>BREAK IT</t>
        </is>
      </c>
    </row>
    <row r="15">
      <c r="A15" s="2" t="inlineStr">
        <is>
          <t>A misspelled food name</t>
        </is>
      </c>
      <c r="B15" s="7" t="inlineStr">
        <is>
          <t>Ropa viejo (shredded beef)</t>
        </is>
      </c>
      <c r="C15" s="3" t="inlineStr">
        <is>
          <t>One letter off. This is the row that produces #N/A.</t>
        </is>
      </c>
    </row>
    <row r="16">
      <c r="A16" s="2" t="inlineStr">
        <is>
          <t>VLOOKUP of the misspelling</t>
        </is>
      </c>
      <c r="B16" s="7" t="n"/>
      <c r="C16" s="3" t="inlineStr">
        <is>
          <t>Point a VLOOKUP at $B$15 and watch it return #N/A.</t>
        </is>
      </c>
    </row>
    <row r="17">
      <c r="A17" s="2" t="inlineStr">
        <is>
          <t>Fix it with IFERROR</t>
        </is>
      </c>
      <c r="B17" s="7" t="n"/>
      <c r="C17" s="3" t="inlineStr">
        <is>
          <t>Hint: =IFERROR(VLOOKUP($B$15,'Food Table'!$A$2:$G$20,3,FALSE),"not in table") — the error becomes a message a human can read.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0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  <col width="40" customWidth="1" min="11" max="11"/>
    <col width="16" customWidth="1" min="12" max="12"/>
    <col width="16" customWidth="1" min="13" max="13"/>
  </cols>
  <sheetData>
    <row r="1">
      <c r="A1" s="1" t="inlineStr">
        <is>
          <t>Drill 2 — Summarise the log</t>
        </is>
      </c>
    </row>
    <row r="2">
      <c r="A2" s="13" t="inlineStr">
        <is>
          <t>The log below is already wired with real VLOOKUPs against the 'Food Table' tab. Read them, then write the summary formulas yourself.</t>
        </is>
      </c>
    </row>
    <row r="4">
      <c r="A4" s="6" t="inlineStr">
        <is>
          <t>DAILY LOG</t>
        </is>
      </c>
    </row>
    <row r="5">
      <c r="A5" s="4" t="inlineStr">
        <is>
          <t>Date</t>
        </is>
      </c>
      <c r="B5" s="4" t="inlineStr">
        <is>
          <t>Meal</t>
        </is>
      </c>
      <c r="C5" s="4" t="inlineStr">
        <is>
          <t>Food</t>
        </is>
      </c>
      <c r="D5" s="4" t="inlineStr">
        <is>
          <t>Servings</t>
        </is>
      </c>
      <c r="E5" s="4" t="inlineStr">
        <is>
          <t>Source</t>
        </is>
      </c>
      <c r="F5" s="4" t="inlineStr">
        <is>
          <t>Calories</t>
        </is>
      </c>
      <c r="G5" s="4" t="inlineStr">
        <is>
          <t>Protein (g)</t>
        </is>
      </c>
      <c r="H5" s="4" t="inlineStr">
        <is>
          <t>Carbs (g)</t>
        </is>
      </c>
      <c r="I5" s="4" t="inlineStr">
        <is>
          <t>Fat (g)</t>
        </is>
      </c>
      <c r="J5" s="4" t="n"/>
      <c r="K5" s="4" t="inlineStr">
        <is>
          <t>Date</t>
        </is>
      </c>
      <c r="L5" s="4" t="inlineStr">
        <is>
          <t>Total calories (SUMIF)</t>
        </is>
      </c>
      <c r="M5" s="4" t="inlineStr">
        <is>
          <t>Total protein (SUMIF)</t>
        </is>
      </c>
      <c r="N5" s="14" t="inlineStr">
        <is>
          <t>Hint: =SUMIF($A$..:$A$.., date, $F$..:$F$..)</t>
        </is>
      </c>
    </row>
    <row r="6">
      <c r="A6" t="inlineStr">
        <is>
          <t>2026-09-14</t>
        </is>
      </c>
      <c r="B6" t="inlineStr">
        <is>
          <t>Breakfast</t>
        </is>
      </c>
      <c r="C6" t="inlineStr">
        <is>
          <t>Egg, large</t>
        </is>
      </c>
      <c r="D6" s="15" t="n">
        <v>2</v>
      </c>
      <c r="E6">
        <f>IFERROR(VLOOKUP($C6,'Food Table'!$A$2:$G$20,7,FALSE),"")</f>
        <v/>
      </c>
      <c r="F6" s="16">
        <f>IFERROR(VLOOKUP($C6,'Food Table'!$A$2:$F$20,3,FALSE)*$D6,"")</f>
        <v/>
      </c>
      <c r="G6" s="17">
        <f>IFERROR(VLOOKUP($C6,'Food Table'!$A$2:$F$20,4,FALSE)*$D6,"")</f>
        <v/>
      </c>
      <c r="H6" s="17">
        <f>IFERROR(VLOOKUP($C6,'Food Table'!$A$2:$F$20,5,FALSE)*$D6,"")</f>
        <v/>
      </c>
      <c r="I6" s="17">
        <f>IFERROR(VLOOKUP($C6,'Food Table'!$A$2:$F$20,6,FALSE)*$D6,"")</f>
        <v/>
      </c>
      <c r="K6" t="inlineStr">
        <is>
          <t>2026-09-14</t>
        </is>
      </c>
      <c r="L6" s="7" t="n"/>
      <c r="M6" s="7" t="n"/>
    </row>
    <row r="7">
      <c r="A7" t="inlineStr">
        <is>
          <t>2026-09-14</t>
        </is>
      </c>
      <c r="B7" t="inlineStr">
        <is>
          <t>Breakfast</t>
        </is>
      </c>
      <c r="C7" t="inlineStr">
        <is>
          <t>Whole wheat bread</t>
        </is>
      </c>
      <c r="D7" s="15" t="n">
        <v>1</v>
      </c>
      <c r="E7">
        <f>IFERROR(VLOOKUP($C7,'Food Table'!$A$2:$G$20,7,FALSE),"")</f>
        <v/>
      </c>
      <c r="F7" s="16">
        <f>IFERROR(VLOOKUP($C7,'Food Table'!$A$2:$F$20,3,FALSE)*$D7,"")</f>
        <v/>
      </c>
      <c r="G7" s="17">
        <f>IFERROR(VLOOKUP($C7,'Food Table'!$A$2:$F$20,4,FALSE)*$D7,"")</f>
        <v/>
      </c>
      <c r="H7" s="17">
        <f>IFERROR(VLOOKUP($C7,'Food Table'!$A$2:$F$20,5,FALSE)*$D7,"")</f>
        <v/>
      </c>
      <c r="I7" s="17">
        <f>IFERROR(VLOOKUP($C7,'Food Table'!$A$2:$F$20,6,FALSE)*$D7,"")</f>
        <v/>
      </c>
      <c r="K7" t="inlineStr">
        <is>
          <t>2026-09-15</t>
        </is>
      </c>
      <c r="L7" s="7" t="n"/>
      <c r="M7" s="7" t="n"/>
    </row>
    <row r="8">
      <c r="A8" t="inlineStr">
        <is>
          <t>2026-09-14</t>
        </is>
      </c>
      <c r="B8" t="inlineStr">
        <is>
          <t>Lunch</t>
        </is>
      </c>
      <c r="C8" t="inlineStr">
        <is>
          <t>Chicken breast, grilled</t>
        </is>
      </c>
      <c r="D8" s="15" t="n">
        <v>1</v>
      </c>
      <c r="E8">
        <f>IFERROR(VLOOKUP($C8,'Food Table'!$A$2:$G$20,7,FALSE),"")</f>
        <v/>
      </c>
      <c r="F8" s="16">
        <f>IFERROR(VLOOKUP($C8,'Food Table'!$A$2:$F$20,3,FALSE)*$D8,"")</f>
        <v/>
      </c>
      <c r="G8" s="17">
        <f>IFERROR(VLOOKUP($C8,'Food Table'!$A$2:$F$20,4,FALSE)*$D8,"")</f>
        <v/>
      </c>
      <c r="H8" s="17">
        <f>IFERROR(VLOOKUP($C8,'Food Table'!$A$2:$F$20,5,FALSE)*$D8,"")</f>
        <v/>
      </c>
      <c r="I8" s="17">
        <f>IFERROR(VLOOKUP($C8,'Food Table'!$A$2:$F$20,6,FALSE)*$D8,"")</f>
        <v/>
      </c>
      <c r="K8" t="inlineStr">
        <is>
          <t>2026-09-16</t>
        </is>
      </c>
      <c r="L8" s="7" t="n"/>
      <c r="M8" s="7" t="n"/>
    </row>
    <row r="9">
      <c r="A9" t="inlineStr">
        <is>
          <t>2026-09-14</t>
        </is>
      </c>
      <c r="B9" t="inlineStr">
        <is>
          <t>Lunch</t>
        </is>
      </c>
      <c r="C9" t="inlineStr">
        <is>
          <t>White rice, cooked</t>
        </is>
      </c>
      <c r="D9" s="15" t="n">
        <v>1</v>
      </c>
      <c r="E9">
        <f>IFERROR(VLOOKUP($C9,'Food Table'!$A$2:$G$20,7,FALSE),"")</f>
        <v/>
      </c>
      <c r="F9" s="16">
        <f>IFERROR(VLOOKUP($C9,'Food Table'!$A$2:$F$20,3,FALSE)*$D9,"")</f>
        <v/>
      </c>
      <c r="G9" s="17">
        <f>IFERROR(VLOOKUP($C9,'Food Table'!$A$2:$F$20,4,FALSE)*$D9,"")</f>
        <v/>
      </c>
      <c r="H9" s="17">
        <f>IFERROR(VLOOKUP($C9,'Food Table'!$A$2:$F$20,5,FALSE)*$D9,"")</f>
        <v/>
      </c>
      <c r="I9" s="17">
        <f>IFERROR(VLOOKUP($C9,'Food Table'!$A$2:$F$20,6,FALSE)*$D9,"")</f>
        <v/>
      </c>
      <c r="K9" t="inlineStr">
        <is>
          <t>2026-09-17</t>
        </is>
      </c>
      <c r="L9" s="7" t="n"/>
      <c r="M9" s="7" t="n"/>
    </row>
    <row r="10">
      <c r="A10" t="inlineStr">
        <is>
          <t>2026-09-14</t>
        </is>
      </c>
      <c r="B10" t="inlineStr">
        <is>
          <t>Dinner</t>
        </is>
      </c>
      <c r="C10" t="inlineStr">
        <is>
          <t>Ropa vieja (shredded beef)</t>
        </is>
      </c>
      <c r="D10" s="15" t="n">
        <v>1.5</v>
      </c>
      <c r="E10">
        <f>IFERROR(VLOOKUP($C10,'Food Table'!$A$2:$G$20,7,FALSE),"")</f>
        <v/>
      </c>
      <c r="F10" s="16">
        <f>IFERROR(VLOOKUP($C10,'Food Table'!$A$2:$F$20,3,FALSE)*$D10,"")</f>
        <v/>
      </c>
      <c r="G10" s="17">
        <f>IFERROR(VLOOKUP($C10,'Food Table'!$A$2:$F$20,4,FALSE)*$D10,"")</f>
        <v/>
      </c>
      <c r="H10" s="17">
        <f>IFERROR(VLOOKUP($C10,'Food Table'!$A$2:$F$20,5,FALSE)*$D10,"")</f>
        <v/>
      </c>
      <c r="I10" s="17">
        <f>IFERROR(VLOOKUP($C10,'Food Table'!$A$2:$F$20,6,FALSE)*$D10,"")</f>
        <v/>
      </c>
      <c r="K10" t="inlineStr">
        <is>
          <t>2026-09-18</t>
        </is>
      </c>
      <c r="L10" s="7" t="n"/>
      <c r="M10" s="7" t="n"/>
    </row>
    <row r="11">
      <c r="A11" t="inlineStr">
        <is>
          <t>2026-09-14</t>
        </is>
      </c>
      <c r="B11" t="inlineStr">
        <is>
          <t>Snack</t>
        </is>
      </c>
      <c r="C11" t="inlineStr">
        <is>
          <t>Banana</t>
        </is>
      </c>
      <c r="D11" s="15" t="n">
        <v>1</v>
      </c>
      <c r="E11">
        <f>IFERROR(VLOOKUP($C11,'Food Table'!$A$2:$G$20,7,FALSE),"")</f>
        <v/>
      </c>
      <c r="F11" s="16">
        <f>IFERROR(VLOOKUP($C11,'Food Table'!$A$2:$F$20,3,FALSE)*$D11,"")</f>
        <v/>
      </c>
      <c r="G11" s="17">
        <f>IFERROR(VLOOKUP($C11,'Food Table'!$A$2:$F$20,4,FALSE)*$D11,"")</f>
        <v/>
      </c>
      <c r="H11" s="17">
        <f>IFERROR(VLOOKUP($C11,'Food Table'!$A$2:$F$20,5,FALSE)*$D11,"")</f>
        <v/>
      </c>
      <c r="I11" s="17">
        <f>IFERROR(VLOOKUP($C11,'Food Table'!$A$2:$F$20,6,FALSE)*$D11,"")</f>
        <v/>
      </c>
    </row>
    <row r="12">
      <c r="A12" t="inlineStr">
        <is>
          <t>2026-09-15</t>
        </is>
      </c>
      <c r="B12" t="inlineStr">
        <is>
          <t>Breakfast</t>
        </is>
      </c>
      <c r="C12" t="inlineStr">
        <is>
          <t>Greek yogurt, plain</t>
        </is>
      </c>
      <c r="D12" s="15" t="n">
        <v>1</v>
      </c>
      <c r="E12">
        <f>IFERROR(VLOOKUP($C12,'Food Table'!$A$2:$G$20,7,FALSE),"")</f>
        <v/>
      </c>
      <c r="F12" s="16">
        <f>IFERROR(VLOOKUP($C12,'Food Table'!$A$2:$F$20,3,FALSE)*$D12,"")</f>
        <v/>
      </c>
      <c r="G12" s="17">
        <f>IFERROR(VLOOKUP($C12,'Food Table'!$A$2:$F$20,4,FALSE)*$D12,"")</f>
        <v/>
      </c>
      <c r="H12" s="17">
        <f>IFERROR(VLOOKUP($C12,'Food Table'!$A$2:$F$20,5,FALSE)*$D12,"")</f>
        <v/>
      </c>
      <c r="I12" s="17">
        <f>IFERROR(VLOOKUP($C12,'Food Table'!$A$2:$F$20,6,FALSE)*$D12,"")</f>
        <v/>
      </c>
    </row>
    <row r="13">
      <c r="A13" t="inlineStr">
        <is>
          <t>2026-09-15</t>
        </is>
      </c>
      <c r="B13" t="inlineStr">
        <is>
          <t>Breakfast</t>
        </is>
      </c>
      <c r="C13" t="inlineStr">
        <is>
          <t>Banana</t>
        </is>
      </c>
      <c r="D13" s="15" t="n">
        <v>1</v>
      </c>
      <c r="E13">
        <f>IFERROR(VLOOKUP($C13,'Food Table'!$A$2:$G$20,7,FALSE),"")</f>
        <v/>
      </c>
      <c r="F13" s="16">
        <f>IFERROR(VLOOKUP($C13,'Food Table'!$A$2:$F$20,3,FALSE)*$D13,"")</f>
        <v/>
      </c>
      <c r="G13" s="17">
        <f>IFERROR(VLOOKUP($C13,'Food Table'!$A$2:$F$20,4,FALSE)*$D13,"")</f>
        <v/>
      </c>
      <c r="H13" s="17">
        <f>IFERROR(VLOOKUP($C13,'Food Table'!$A$2:$F$20,5,FALSE)*$D13,"")</f>
        <v/>
      </c>
      <c r="I13" s="17">
        <f>IFERROR(VLOOKUP($C13,'Food Table'!$A$2:$F$20,6,FALSE)*$D13,"")</f>
        <v/>
      </c>
    </row>
    <row r="14">
      <c r="A14" t="inlineStr">
        <is>
          <t>2026-09-15</t>
        </is>
      </c>
      <c r="B14" t="inlineStr">
        <is>
          <t>Lunch</t>
        </is>
      </c>
      <c r="C14" t="inlineStr">
        <is>
          <t>Black beans, cooked</t>
        </is>
      </c>
      <c r="D14" s="15" t="n">
        <v>1</v>
      </c>
      <c r="E14">
        <f>IFERROR(VLOOKUP($C14,'Food Table'!$A$2:$G$20,7,FALSE),"")</f>
        <v/>
      </c>
      <c r="F14" s="16">
        <f>IFERROR(VLOOKUP($C14,'Food Table'!$A$2:$F$20,3,FALSE)*$D14,"")</f>
        <v/>
      </c>
      <c r="G14" s="17">
        <f>IFERROR(VLOOKUP($C14,'Food Table'!$A$2:$F$20,4,FALSE)*$D14,"")</f>
        <v/>
      </c>
      <c r="H14" s="17">
        <f>IFERROR(VLOOKUP($C14,'Food Table'!$A$2:$F$20,5,FALSE)*$D14,"")</f>
        <v/>
      </c>
      <c r="I14" s="17">
        <f>IFERROR(VLOOKUP($C14,'Food Table'!$A$2:$F$20,6,FALSE)*$D14,"")</f>
        <v/>
      </c>
    </row>
    <row r="15">
      <c r="A15" t="inlineStr">
        <is>
          <t>2026-09-15</t>
        </is>
      </c>
      <c r="B15" t="inlineStr">
        <is>
          <t>Lunch</t>
        </is>
      </c>
      <c r="C15" t="inlineStr">
        <is>
          <t>White rice, cooked</t>
        </is>
      </c>
      <c r="D15" s="15" t="n">
        <v>1</v>
      </c>
      <c r="E15">
        <f>IFERROR(VLOOKUP($C15,'Food Table'!$A$2:$G$20,7,FALSE),"")</f>
        <v/>
      </c>
      <c r="F15" s="16">
        <f>IFERROR(VLOOKUP($C15,'Food Table'!$A$2:$F$20,3,FALSE)*$D15,"")</f>
        <v/>
      </c>
      <c r="G15" s="17">
        <f>IFERROR(VLOOKUP($C15,'Food Table'!$A$2:$F$20,4,FALSE)*$D15,"")</f>
        <v/>
      </c>
      <c r="H15" s="17">
        <f>IFERROR(VLOOKUP($C15,'Food Table'!$A$2:$F$20,5,FALSE)*$D15,"")</f>
        <v/>
      </c>
      <c r="I15" s="17">
        <f>IFERROR(VLOOKUP($C15,'Food Table'!$A$2:$F$20,6,FALSE)*$D15,"")</f>
        <v/>
      </c>
    </row>
    <row r="16">
      <c r="A16" t="inlineStr">
        <is>
          <t>2026-09-15</t>
        </is>
      </c>
      <c r="B16" t="inlineStr">
        <is>
          <t>Dinner</t>
        </is>
      </c>
      <c r="C16" t="inlineStr">
        <is>
          <t>Pizza slice, cheese</t>
        </is>
      </c>
      <c r="D16" s="15" t="n">
        <v>2</v>
      </c>
      <c r="E16">
        <f>IFERROR(VLOOKUP($C16,'Food Table'!$A$2:$G$20,7,FALSE),"")</f>
        <v/>
      </c>
      <c r="F16" s="16">
        <f>IFERROR(VLOOKUP($C16,'Food Table'!$A$2:$F$20,3,FALSE)*$D16,"")</f>
        <v/>
      </c>
      <c r="G16" s="17">
        <f>IFERROR(VLOOKUP($C16,'Food Table'!$A$2:$F$20,4,FALSE)*$D16,"")</f>
        <v/>
      </c>
      <c r="H16" s="17">
        <f>IFERROR(VLOOKUP($C16,'Food Table'!$A$2:$F$20,5,FALSE)*$D16,"")</f>
        <v/>
      </c>
      <c r="I16" s="17">
        <f>IFERROR(VLOOKUP($C16,'Food Table'!$A$2:$F$20,6,FALSE)*$D16,"")</f>
        <v/>
      </c>
    </row>
    <row r="17">
      <c r="A17" t="inlineStr">
        <is>
          <t>2026-09-16</t>
        </is>
      </c>
      <c r="B17" t="inlineStr">
        <is>
          <t>Breakfast</t>
        </is>
      </c>
      <c r="C17" t="inlineStr">
        <is>
          <t>Cafecito con azucar (Cuban coffee, sweet)</t>
        </is>
      </c>
      <c r="D17" s="15" t="n">
        <v>1</v>
      </c>
      <c r="E17">
        <f>IFERROR(VLOOKUP($C17,'Food Table'!$A$2:$G$20,7,FALSE),"")</f>
        <v/>
      </c>
      <c r="F17" s="16">
        <f>IFERROR(VLOOKUP($C17,'Food Table'!$A$2:$F$20,3,FALSE)*$D17,"")</f>
        <v/>
      </c>
      <c r="G17" s="17">
        <f>IFERROR(VLOOKUP($C17,'Food Table'!$A$2:$F$20,4,FALSE)*$D17,"")</f>
        <v/>
      </c>
      <c r="H17" s="17">
        <f>IFERROR(VLOOKUP($C17,'Food Table'!$A$2:$F$20,5,FALSE)*$D17,"")</f>
        <v/>
      </c>
      <c r="I17" s="17">
        <f>IFERROR(VLOOKUP($C17,'Food Table'!$A$2:$F$20,6,FALSE)*$D17,"")</f>
        <v/>
      </c>
    </row>
    <row r="18">
      <c r="A18" t="inlineStr">
        <is>
          <t>2026-09-16</t>
        </is>
      </c>
      <c r="B18" t="inlineStr">
        <is>
          <t>Breakfast</t>
        </is>
      </c>
      <c r="C18" t="inlineStr">
        <is>
          <t>Egg, large</t>
        </is>
      </c>
      <c r="D18" s="15" t="n">
        <v>2</v>
      </c>
      <c r="E18">
        <f>IFERROR(VLOOKUP($C18,'Food Table'!$A$2:$G$20,7,FALSE),"")</f>
        <v/>
      </c>
      <c r="F18" s="16">
        <f>IFERROR(VLOOKUP($C18,'Food Table'!$A$2:$F$20,3,FALSE)*$D18,"")</f>
        <v/>
      </c>
      <c r="G18" s="17">
        <f>IFERROR(VLOOKUP($C18,'Food Table'!$A$2:$F$20,4,FALSE)*$D18,"")</f>
        <v/>
      </c>
      <c r="H18" s="17">
        <f>IFERROR(VLOOKUP($C18,'Food Table'!$A$2:$F$20,5,FALSE)*$D18,"")</f>
        <v/>
      </c>
      <c r="I18" s="17">
        <f>IFERROR(VLOOKUP($C18,'Food Table'!$A$2:$F$20,6,FALSE)*$D18,"")</f>
        <v/>
      </c>
    </row>
    <row r="19">
      <c r="A19" t="inlineStr">
        <is>
          <t>2026-09-16</t>
        </is>
      </c>
      <c r="B19" t="inlineStr">
        <is>
          <t>Lunch</t>
        </is>
      </c>
      <c r="C19" t="inlineStr">
        <is>
          <t>Croqueta (ham)</t>
        </is>
      </c>
      <c r="D19" s="15" t="n">
        <v>2</v>
      </c>
      <c r="E19">
        <f>IFERROR(VLOOKUP($C19,'Food Table'!$A$2:$G$20,7,FALSE),"")</f>
        <v/>
      </c>
      <c r="F19" s="16">
        <f>IFERROR(VLOOKUP($C19,'Food Table'!$A$2:$F$20,3,FALSE)*$D19,"")</f>
        <v/>
      </c>
      <c r="G19" s="17">
        <f>IFERROR(VLOOKUP($C19,'Food Table'!$A$2:$F$20,4,FALSE)*$D19,"")</f>
        <v/>
      </c>
      <c r="H19" s="17">
        <f>IFERROR(VLOOKUP($C19,'Food Table'!$A$2:$F$20,5,FALSE)*$D19,"")</f>
        <v/>
      </c>
      <c r="I19" s="17">
        <f>IFERROR(VLOOKUP($C19,'Food Table'!$A$2:$F$20,6,FALSE)*$D19,"")</f>
        <v/>
      </c>
    </row>
    <row r="20">
      <c r="A20" t="inlineStr">
        <is>
          <t>2026-09-16</t>
        </is>
      </c>
      <c r="B20" t="inlineStr">
        <is>
          <t>Dinner</t>
        </is>
      </c>
      <c r="C20" t="inlineStr">
        <is>
          <t>Chicken breast, grilled</t>
        </is>
      </c>
      <c r="D20" s="15" t="n">
        <v>1</v>
      </c>
      <c r="E20">
        <f>IFERROR(VLOOKUP($C20,'Food Table'!$A$2:$G$20,7,FALSE),"")</f>
        <v/>
      </c>
      <c r="F20" s="16">
        <f>IFERROR(VLOOKUP($C20,'Food Table'!$A$2:$F$20,3,FALSE)*$D20,"")</f>
        <v/>
      </c>
      <c r="G20" s="17">
        <f>IFERROR(VLOOKUP($C20,'Food Table'!$A$2:$F$20,4,FALSE)*$D20,"")</f>
        <v/>
      </c>
      <c r="H20" s="17">
        <f>IFERROR(VLOOKUP($C20,'Food Table'!$A$2:$F$20,5,FALSE)*$D20,"")</f>
        <v/>
      </c>
      <c r="I20" s="17">
        <f>IFERROR(VLOOKUP($C20,'Food Table'!$A$2:$F$20,6,FALSE)*$D20,"")</f>
        <v/>
      </c>
    </row>
    <row r="21">
      <c r="A21" t="inlineStr">
        <is>
          <t>2026-09-16</t>
        </is>
      </c>
      <c r="B21" t="inlineStr">
        <is>
          <t>Dinner</t>
        </is>
      </c>
      <c r="C21" t="inlineStr">
        <is>
          <t>Yuca con mojo</t>
        </is>
      </c>
      <c r="D21" s="15" t="n">
        <v>1</v>
      </c>
      <c r="E21">
        <f>IFERROR(VLOOKUP($C21,'Food Table'!$A$2:$G$20,7,FALSE),"")</f>
        <v/>
      </c>
      <c r="F21" s="16">
        <f>IFERROR(VLOOKUP($C21,'Food Table'!$A$2:$F$20,3,FALSE)*$D21,"")</f>
        <v/>
      </c>
      <c r="G21" s="17">
        <f>IFERROR(VLOOKUP($C21,'Food Table'!$A$2:$F$20,4,FALSE)*$D21,"")</f>
        <v/>
      </c>
      <c r="H21" s="17">
        <f>IFERROR(VLOOKUP($C21,'Food Table'!$A$2:$F$20,5,FALSE)*$D21,"")</f>
        <v/>
      </c>
      <c r="I21" s="17">
        <f>IFERROR(VLOOKUP($C21,'Food Table'!$A$2:$F$20,6,FALSE)*$D21,"")</f>
        <v/>
      </c>
    </row>
    <row r="22">
      <c r="A22" t="inlineStr">
        <is>
          <t>2026-09-17</t>
        </is>
      </c>
      <c r="B22" t="inlineStr">
        <is>
          <t>Breakfast</t>
        </is>
      </c>
      <c r="C22" t="inlineStr">
        <is>
          <t>Cafe con leche</t>
        </is>
      </c>
      <c r="D22" s="15" t="n">
        <v>1</v>
      </c>
      <c r="E22">
        <f>IFERROR(VLOOKUP($C22,'Food Table'!$A$2:$G$20,7,FALSE),"")</f>
        <v/>
      </c>
      <c r="F22" s="16">
        <f>IFERROR(VLOOKUP($C22,'Food Table'!$A$2:$F$20,3,FALSE)*$D22,"")</f>
        <v/>
      </c>
      <c r="G22" s="17">
        <f>IFERROR(VLOOKUP($C22,'Food Table'!$A$2:$F$20,4,FALSE)*$D22,"")</f>
        <v/>
      </c>
      <c r="H22" s="17">
        <f>IFERROR(VLOOKUP($C22,'Food Table'!$A$2:$F$20,5,FALSE)*$D22,"")</f>
        <v/>
      </c>
      <c r="I22" s="17">
        <f>IFERROR(VLOOKUP($C22,'Food Table'!$A$2:$F$20,6,FALSE)*$D22,"")</f>
        <v/>
      </c>
    </row>
    <row r="23">
      <c r="A23" t="inlineStr">
        <is>
          <t>2026-09-17</t>
        </is>
      </c>
      <c r="B23" t="inlineStr">
        <is>
          <t>Lunch</t>
        </is>
      </c>
      <c r="C23" t="inlineStr">
        <is>
          <t>Plantain, fried (maduros)</t>
        </is>
      </c>
      <c r="D23" s="15" t="n">
        <v>1</v>
      </c>
      <c r="E23">
        <f>IFERROR(VLOOKUP($C23,'Food Table'!$A$2:$G$20,7,FALSE),"")</f>
        <v/>
      </c>
      <c r="F23" s="16">
        <f>IFERROR(VLOOKUP($C23,'Food Table'!$A$2:$F$20,3,FALSE)*$D23,"")</f>
        <v/>
      </c>
      <c r="G23" s="17">
        <f>IFERROR(VLOOKUP($C23,'Food Table'!$A$2:$F$20,4,FALSE)*$D23,"")</f>
        <v/>
      </c>
      <c r="H23" s="17">
        <f>IFERROR(VLOOKUP($C23,'Food Table'!$A$2:$F$20,5,FALSE)*$D23,"")</f>
        <v/>
      </c>
      <c r="I23" s="17">
        <f>IFERROR(VLOOKUP($C23,'Food Table'!$A$2:$F$20,6,FALSE)*$D23,"")</f>
        <v/>
      </c>
    </row>
    <row r="24">
      <c r="A24" t="inlineStr">
        <is>
          <t>2026-09-17</t>
        </is>
      </c>
      <c r="B24" t="inlineStr">
        <is>
          <t>Lunch</t>
        </is>
      </c>
      <c r="C24" t="inlineStr">
        <is>
          <t>Black beans, cooked</t>
        </is>
      </c>
      <c r="D24" s="15" t="n">
        <v>1</v>
      </c>
      <c r="E24">
        <f>IFERROR(VLOOKUP($C24,'Food Table'!$A$2:$G$20,7,FALSE),"")</f>
        <v/>
      </c>
      <c r="F24" s="16">
        <f>IFERROR(VLOOKUP($C24,'Food Table'!$A$2:$F$20,3,FALSE)*$D24,"")</f>
        <v/>
      </c>
      <c r="G24" s="17">
        <f>IFERROR(VLOOKUP($C24,'Food Table'!$A$2:$F$20,4,FALSE)*$D24,"")</f>
        <v/>
      </c>
      <c r="H24" s="17">
        <f>IFERROR(VLOOKUP($C24,'Food Table'!$A$2:$F$20,5,FALSE)*$D24,"")</f>
        <v/>
      </c>
      <c r="I24" s="17">
        <f>IFERROR(VLOOKUP($C24,'Food Table'!$A$2:$F$20,6,FALSE)*$D24,"")</f>
        <v/>
      </c>
    </row>
    <row r="25">
      <c r="A25" t="inlineStr">
        <is>
          <t>2026-09-17</t>
        </is>
      </c>
      <c r="B25" t="inlineStr">
        <is>
          <t>Dinner</t>
        </is>
      </c>
      <c r="C25" t="inlineStr">
        <is>
          <t>Avocado</t>
        </is>
      </c>
      <c r="D25" s="15" t="n">
        <v>1</v>
      </c>
      <c r="E25">
        <f>IFERROR(VLOOKUP($C25,'Food Table'!$A$2:$G$20,7,FALSE),"")</f>
        <v/>
      </c>
      <c r="F25" s="16">
        <f>IFERROR(VLOOKUP($C25,'Food Table'!$A$2:$F$20,3,FALSE)*$D25,"")</f>
        <v/>
      </c>
      <c r="G25" s="17">
        <f>IFERROR(VLOOKUP($C25,'Food Table'!$A$2:$F$20,4,FALSE)*$D25,"")</f>
        <v/>
      </c>
      <c r="H25" s="17">
        <f>IFERROR(VLOOKUP($C25,'Food Table'!$A$2:$F$20,5,FALSE)*$D25,"")</f>
        <v/>
      </c>
      <c r="I25" s="17">
        <f>IFERROR(VLOOKUP($C25,'Food Table'!$A$2:$F$20,6,FALSE)*$D25,"")</f>
        <v/>
      </c>
    </row>
    <row r="26">
      <c r="A26" t="inlineStr">
        <is>
          <t>2026-09-17</t>
        </is>
      </c>
      <c r="B26" t="inlineStr">
        <is>
          <t>Dinner</t>
        </is>
      </c>
      <c r="C26" t="inlineStr">
        <is>
          <t>White rice, cooked</t>
        </is>
      </c>
      <c r="D26" s="15" t="n">
        <v>1</v>
      </c>
      <c r="E26">
        <f>IFERROR(VLOOKUP($C26,'Food Table'!$A$2:$G$20,7,FALSE),"")</f>
        <v/>
      </c>
      <c r="F26" s="16">
        <f>IFERROR(VLOOKUP($C26,'Food Table'!$A$2:$F$20,3,FALSE)*$D26,"")</f>
        <v/>
      </c>
      <c r="G26" s="17">
        <f>IFERROR(VLOOKUP($C26,'Food Table'!$A$2:$F$20,4,FALSE)*$D26,"")</f>
        <v/>
      </c>
      <c r="H26" s="17">
        <f>IFERROR(VLOOKUP($C26,'Food Table'!$A$2:$F$20,5,FALSE)*$D26,"")</f>
        <v/>
      </c>
      <c r="I26" s="17">
        <f>IFERROR(VLOOKUP($C26,'Food Table'!$A$2:$F$20,6,FALSE)*$D26,"")</f>
        <v/>
      </c>
    </row>
    <row r="27">
      <c r="A27" t="inlineStr">
        <is>
          <t>2026-09-18</t>
        </is>
      </c>
      <c r="B27" t="inlineStr">
        <is>
          <t>Breakfast</t>
        </is>
      </c>
      <c r="C27" t="inlineStr">
        <is>
          <t>Egg, large</t>
        </is>
      </c>
      <c r="D27" s="15" t="n">
        <v>3</v>
      </c>
      <c r="E27">
        <f>IFERROR(VLOOKUP($C27,'Food Table'!$A$2:$G$20,7,FALSE),"")</f>
        <v/>
      </c>
      <c r="F27" s="16">
        <f>IFERROR(VLOOKUP($C27,'Food Table'!$A$2:$F$20,3,FALSE)*$D27,"")</f>
        <v/>
      </c>
      <c r="G27" s="17">
        <f>IFERROR(VLOOKUP($C27,'Food Table'!$A$2:$F$20,4,FALSE)*$D27,"")</f>
        <v/>
      </c>
      <c r="H27" s="17">
        <f>IFERROR(VLOOKUP($C27,'Food Table'!$A$2:$F$20,5,FALSE)*$D27,"")</f>
        <v/>
      </c>
      <c r="I27" s="17">
        <f>IFERROR(VLOOKUP($C27,'Food Table'!$A$2:$F$20,6,FALSE)*$D27,"")</f>
        <v/>
      </c>
    </row>
    <row r="28">
      <c r="A28" t="inlineStr">
        <is>
          <t>2026-09-18</t>
        </is>
      </c>
      <c r="B28" t="inlineStr">
        <is>
          <t>Lunch</t>
        </is>
      </c>
      <c r="C28" t="inlineStr">
        <is>
          <t>Ropa vieja (shredded beef)</t>
        </is>
      </c>
      <c r="D28" s="15" t="n">
        <v>1</v>
      </c>
      <c r="E28">
        <f>IFERROR(VLOOKUP($C28,'Food Table'!$A$2:$G$20,7,FALSE),"")</f>
        <v/>
      </c>
      <c r="F28" s="16">
        <f>IFERROR(VLOOKUP($C28,'Food Table'!$A$2:$F$20,3,FALSE)*$D28,"")</f>
        <v/>
      </c>
      <c r="G28" s="17">
        <f>IFERROR(VLOOKUP($C28,'Food Table'!$A$2:$F$20,4,FALSE)*$D28,"")</f>
        <v/>
      </c>
      <c r="H28" s="17">
        <f>IFERROR(VLOOKUP($C28,'Food Table'!$A$2:$F$20,5,FALSE)*$D28,"")</f>
        <v/>
      </c>
      <c r="I28" s="17">
        <f>IFERROR(VLOOKUP($C28,'Food Table'!$A$2:$F$20,6,FALSE)*$D28,"")</f>
        <v/>
      </c>
    </row>
    <row r="29">
      <c r="A29" t="inlineStr">
        <is>
          <t>2026-09-18</t>
        </is>
      </c>
      <c r="B29" t="inlineStr">
        <is>
          <t>Dinner</t>
        </is>
      </c>
      <c r="C29" t="inlineStr">
        <is>
          <t>Pizza slice, cheese</t>
        </is>
      </c>
      <c r="D29" s="15" t="n">
        <v>1</v>
      </c>
      <c r="E29">
        <f>IFERROR(VLOOKUP($C29,'Food Table'!$A$2:$G$20,7,FALSE),"")</f>
        <v/>
      </c>
      <c r="F29" s="16">
        <f>IFERROR(VLOOKUP($C29,'Food Table'!$A$2:$F$20,3,FALSE)*$D29,"")</f>
        <v/>
      </c>
      <c r="G29" s="17">
        <f>IFERROR(VLOOKUP($C29,'Food Table'!$A$2:$F$20,4,FALSE)*$D29,"")</f>
        <v/>
      </c>
      <c r="H29" s="17">
        <f>IFERROR(VLOOKUP($C29,'Food Table'!$A$2:$F$20,5,FALSE)*$D29,"")</f>
        <v/>
      </c>
      <c r="I29" s="17">
        <f>IFERROR(VLOOKUP($C29,'Food Table'!$A$2:$F$20,6,FALSE)*$D29,"")</f>
        <v/>
      </c>
    </row>
    <row r="30">
      <c r="A30" t="inlineStr">
        <is>
          <t>2026-09-18</t>
        </is>
      </c>
      <c r="B30" t="inlineStr">
        <is>
          <t>Snack</t>
        </is>
      </c>
      <c r="C30" t="inlineStr">
        <is>
          <t>Greek yogurt, plain</t>
        </is>
      </c>
      <c r="D30" s="15" t="n">
        <v>1</v>
      </c>
      <c r="E30">
        <f>IFERROR(VLOOKUP($C30,'Food Table'!$A$2:$G$20,7,FALSE),"")</f>
        <v/>
      </c>
      <c r="F30" s="16">
        <f>IFERROR(VLOOKUP($C30,'Food Table'!$A$2:$F$20,3,FALSE)*$D30,"")</f>
        <v/>
      </c>
      <c r="G30" s="17">
        <f>IFERROR(VLOOKUP($C30,'Food Table'!$A$2:$F$20,4,FALSE)*$D30,"")</f>
        <v/>
      </c>
      <c r="H30" s="17">
        <f>IFERROR(VLOOKUP($C30,'Food Table'!$A$2:$F$20,5,FALSE)*$D30,"")</f>
        <v/>
      </c>
      <c r="I30" s="17">
        <f>IFERROR(VLOOKUP($C30,'Food Table'!$A$2:$F$20,6,FALSE)*$D30,"")</f>
        <v/>
      </c>
    </row>
    <row r="32">
      <c r="A32" s="6" t="inlineStr">
        <is>
          <t>YOUR TURN — write each formula yourself</t>
        </is>
      </c>
    </row>
    <row r="33">
      <c r="A33" s="2" t="inlineStr">
        <is>
          <t>Total calories for 2026-09-14 (SUMIF)</t>
        </is>
      </c>
      <c r="B33" s="7" t="n"/>
      <c r="E33" s="13" t="inlineStr">
        <is>
          <t>Hint: =SUMIF($A$6:$A$30,"2026-09-14",$F$6:$F$30)</t>
        </is>
      </c>
    </row>
    <row r="34">
      <c r="A34" s="2" t="inlineStr">
        <is>
          <t>Total protein for 2026-09-14 (SUMIF)</t>
        </is>
      </c>
      <c r="B34" s="7" t="n"/>
      <c r="E34" s="13" t="inlineStr">
        <is>
          <t>Hint: =SUMIF($A$6:$A$30,"2026-09-14",$G$6:$G$30)</t>
        </is>
      </c>
    </row>
    <row r="35">
      <c r="A35" s="2" t="inlineStr">
        <is>
          <t>Total calories for one specific food (SUMIF)</t>
        </is>
      </c>
      <c r="B35" s="7" t="n"/>
      <c r="E35" s="13" t="inlineStr">
        <is>
          <t>Hint: =SUMIF($C$6:$C$30,"Pizza slice, cheese",$F$6:$F$30)</t>
        </is>
      </c>
    </row>
    <row r="36">
      <c r="A36" s="2" t="inlineStr">
        <is>
          <t>Average calories per day (AVERAGE of the five daily totals)</t>
        </is>
      </c>
      <c r="B36" s="7" t="n"/>
      <c r="E36" s="13" t="inlineStr">
        <is>
          <t>Hint: =AVERAGE($K$6:$K$10)</t>
        </is>
      </c>
    </row>
    <row r="37">
      <c r="A37" s="2" t="inlineStr">
        <is>
          <t>Average calories on restaurant-sourced rows (AVERAGEIF)</t>
        </is>
      </c>
      <c r="B37" s="7" t="n"/>
      <c r="E37" s="13" t="inlineStr">
        <is>
          <t>Hint: =IFERROR(AVERAGEIF($E$6:$E$30,"Restaurant nutrition",$F$6:$F$30),"")</t>
        </is>
      </c>
    </row>
    <row r="39">
      <c r="A39" s="3" t="inlineStr">
        <is>
          <t>SUMIF totals a column by a condition; AVERAGEIF averages it by a condition. The condition is usually a date, a food, or a source. Which one would you use to answer your own cornerstone question?</t>
        </is>
      </c>
    </row>
  </sheetData>
  <dataValidations count="1">
    <dataValidation sqref="C6:C30" showDropDown="0" showInputMessage="0" showErrorMessage="0" allowBlank="1" errorTitle="Not in Food Table" error="Choose a food from the Food Table (or add it there and extend this range)." type="list">
      <formula1>='Food Table'!$A$2:$A$16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56" customWidth="1" min="3" max="3"/>
    <col width="16" customWidth="1" min="4" max="4"/>
  </cols>
  <sheetData>
    <row r="1">
      <c r="A1" s="1" t="inlineStr">
        <is>
          <t>Drill 3 — Add a food, watch everything move</t>
        </is>
      </c>
    </row>
    <row r="2">
      <c r="A2" s="13" t="inlineStr">
        <is>
          <t>Adding a food means adding a ROW to the 'Food Table' tab — never typing its macros into the log. The summary below reads that table, so it should move on its own.</t>
        </is>
      </c>
    </row>
    <row r="4">
      <c r="A4" s="6" t="inlineStr">
        <is>
          <t>Downstream summary (reads 'Food Table')</t>
        </is>
      </c>
    </row>
    <row r="5">
      <c r="A5" s="2" t="inlineStr">
        <is>
          <t>Foods in the table</t>
        </is>
      </c>
      <c r="B5" s="16">
        <f>COUNTA('Food Table'!$A$2:$A$20)</f>
        <v/>
      </c>
    </row>
    <row r="6">
      <c r="A6" s="2" t="inlineStr">
        <is>
          <t>Total calories — one serving of every food</t>
        </is>
      </c>
      <c r="B6" s="18">
        <f>SUM('Food Table'!$C$2:$C$20)</f>
        <v/>
      </c>
    </row>
    <row r="7">
      <c r="A7" s="2" t="inlineStr">
        <is>
          <t>Total protein across every food</t>
        </is>
      </c>
      <c r="B7" s="19">
        <f>SUM('Food Table'!$D$2:$D$20)</f>
        <v/>
      </c>
    </row>
    <row r="8">
      <c r="A8" s="2" t="inlineStr">
        <is>
          <t>Highest-calorie food</t>
        </is>
      </c>
      <c r="B8">
        <f>INDEX('Food Table'!$A$2:$A$20,MATCH(MAX('Food Table'!$C$2:$C$20),'Food Table'!$C$2:$C$20,0))</f>
        <v/>
      </c>
    </row>
    <row r="10">
      <c r="A10" s="3" t="inlineStr">
        <is>
          <t>Do it: on the 'Food Table' tab, type a new food into row 17 (try 'Oatmeal, cooked'). Do NOT touch the summary formulas. Did all four numbers change?</t>
        </is>
      </c>
    </row>
    <row r="11">
      <c r="A11" s="3" t="inlineStr">
        <is>
          <t>Then go to '2 SUMIF &amp; AVERAGEIF' and use the Food-column dropdown. Your new food will not appear until you extend the dropdown range from $A$2:$A$16 to $A$2:$A$20.</t>
        </is>
      </c>
    </row>
    <row r="13">
      <c r="A13" s="6" t="inlineStr">
        <is>
          <t>Record your proof</t>
        </is>
      </c>
    </row>
    <row r="14">
      <c r="A14" s="2" t="inlineStr">
        <is>
          <t>Foods in the table — BEFORE</t>
        </is>
      </c>
      <c r="B14" s="7" t="n"/>
    </row>
    <row r="15">
      <c r="A15" s="2" t="inlineStr">
        <is>
          <t>Foods in the table — AFTER</t>
        </is>
      </c>
      <c r="B15" s="7" t="n"/>
    </row>
    <row r="16">
      <c r="A16" s="2" t="inlineStr">
        <is>
          <t>Why did it change without editing a formula?</t>
        </is>
      </c>
      <c r="B16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4" customWidth="1" min="4" max="4"/>
    <col width="16" customWidth="1" min="5" max="5"/>
    <col width="14" customWidth="1" min="6" max="6"/>
    <col width="3" customWidth="1" min="7" max="7"/>
    <col width="60" customWidth="1" min="8" max="8"/>
  </cols>
  <sheetData>
    <row r="1">
      <c r="A1" s="1" t="inlineStr">
        <is>
          <t>Drill 4 — Find the one typed-in cell</t>
        </is>
      </c>
    </row>
    <row r="2">
      <c r="A2" s="13" t="inlineStr">
        <is>
          <t>This day's model is almost entirely formulas. Exactly ONE cell was typed in by hand. Find it and replace it with the formula it should be.</t>
        </is>
      </c>
    </row>
    <row r="4">
      <c r="A4" s="4" t="inlineStr">
        <is>
          <t>Food</t>
        </is>
      </c>
      <c r="B4" s="4" t="inlineStr">
        <is>
          <t>Servings</t>
        </is>
      </c>
      <c r="C4" s="4" t="inlineStr">
        <is>
          <t>Calories/serving</t>
        </is>
      </c>
      <c r="D4" s="4" t="inlineStr">
        <is>
          <t>Calories</t>
        </is>
      </c>
      <c r="E4" s="4" t="inlineStr">
        <is>
          <t>Protein/serving</t>
        </is>
      </c>
      <c r="F4" s="4" t="inlineStr">
        <is>
          <t>Protein</t>
        </is>
      </c>
      <c r="H4" s="3" t="inlineStr">
        <is>
          <t>How to hunt: change a serving in column B to 2. Every real formula answers. One cell will not budge — that is the hard-coded one.</t>
        </is>
      </c>
    </row>
    <row r="5">
      <c r="A5" t="inlineStr">
        <is>
          <t>Egg, large</t>
        </is>
      </c>
      <c r="B5" s="15" t="n">
        <v>1</v>
      </c>
      <c r="C5" s="16">
        <f>IFERROR(VLOOKUP($A5,'Food Table'!$A$2:$F$20,3,FALSE),"")</f>
        <v/>
      </c>
      <c r="D5" s="16">
        <f>$B5*C5</f>
        <v/>
      </c>
      <c r="E5" s="17">
        <f>IFERROR(VLOOKUP($A5,'Food Table'!$A$2:$F$20,4,FALSE),"")</f>
        <v/>
      </c>
      <c r="F5" s="17">
        <f>$B5*E5</f>
        <v/>
      </c>
    </row>
    <row r="6">
      <c r="A6" t="inlineStr">
        <is>
          <t>White rice, cooked</t>
        </is>
      </c>
      <c r="B6" s="15" t="n">
        <v>1</v>
      </c>
      <c r="C6" s="16" t="n">
        <v>205</v>
      </c>
      <c r="D6" s="16">
        <f>$B6*C6</f>
        <v/>
      </c>
      <c r="E6" s="17">
        <f>IFERROR(VLOOKUP($A6,'Food Table'!$A$2:$F$20,4,FALSE),"")</f>
        <v/>
      </c>
      <c r="F6" s="17">
        <f>$B6*E6</f>
        <v/>
      </c>
      <c r="H6" s="13" t="inlineStr">
        <is>
          <t>SPOILER — answer (fold this column away): the hard-coded cell is C6 (White rice, cooked — Calories/serving). It should contain =IFERROR(VLOOKUP($A6,'Food Table'!$A$2:$F$20,3,FALSE),"").</t>
        </is>
      </c>
    </row>
    <row r="7">
      <c r="A7" t="inlineStr">
        <is>
          <t>Chicken breast, grilled</t>
        </is>
      </c>
      <c r="B7" s="15" t="n">
        <v>1</v>
      </c>
      <c r="C7" s="16">
        <f>IFERROR(VLOOKUP($A7,'Food Table'!$A$2:$F$20,3,FALSE),"")</f>
        <v/>
      </c>
      <c r="D7" s="16">
        <f>$B7*C7</f>
        <v/>
      </c>
      <c r="E7" s="17">
        <f>IFERROR(VLOOKUP($A7,'Food Table'!$A$2:$F$20,4,FALSE),"")</f>
        <v/>
      </c>
      <c r="F7" s="17">
        <f>$B7*E7</f>
        <v/>
      </c>
    </row>
    <row r="8">
      <c r="A8" t="inlineStr">
        <is>
          <t>Black beans, cooked</t>
        </is>
      </c>
      <c r="B8" s="15" t="n">
        <v>1</v>
      </c>
      <c r="C8" s="16">
        <f>IFERROR(VLOOKUP($A8,'Food Table'!$A$2:$F$20,3,FALSE),"")</f>
        <v/>
      </c>
      <c r="D8" s="16">
        <f>$B8*C8</f>
        <v/>
      </c>
      <c r="E8" s="17">
        <f>IFERROR(VLOOKUP($A8,'Food Table'!$A$2:$F$20,4,FALSE),"")</f>
        <v/>
      </c>
      <c r="F8" s="17">
        <f>$B8*E8</f>
        <v/>
      </c>
    </row>
    <row r="9">
      <c r="A9" t="inlineStr">
        <is>
          <t>Ropa vieja (shredded beef)</t>
        </is>
      </c>
      <c r="B9" s="15" t="n">
        <v>1</v>
      </c>
      <c r="C9" s="16">
        <f>IFERROR(VLOOKUP($A9,'Food Table'!$A$2:$F$20,3,FALSE),"")</f>
        <v/>
      </c>
      <c r="D9" s="16">
        <f>$B9*C9</f>
        <v/>
      </c>
      <c r="E9" s="17">
        <f>IFERROR(VLOOKUP($A9,'Food Table'!$A$2:$F$20,4,FALSE),"")</f>
        <v/>
      </c>
      <c r="F9" s="17">
        <f>$B9*E9</f>
        <v/>
      </c>
    </row>
    <row r="10">
      <c r="A10" t="inlineStr">
        <is>
          <t>Banana</t>
        </is>
      </c>
      <c r="B10" s="15" t="n">
        <v>1</v>
      </c>
      <c r="C10" s="16">
        <f>IFERROR(VLOOKUP($A10,'Food Table'!$A$2:$F$20,3,FALSE),"")</f>
        <v/>
      </c>
      <c r="D10" s="16">
        <f>$B10*C10</f>
        <v/>
      </c>
      <c r="E10" s="17">
        <f>IFERROR(VLOOKUP($A10,'Food Table'!$A$2:$F$20,4,FALSE),"")</f>
        <v/>
      </c>
      <c r="F10" s="17">
        <f>$B10*E10</f>
        <v/>
      </c>
    </row>
    <row r="11">
      <c r="A11" s="2" t="inlineStr">
        <is>
          <t>TOTAL</t>
        </is>
      </c>
      <c r="D11" s="16">
        <f>SUM(D5:D10)</f>
        <v/>
      </c>
      <c r="F11" s="17">
        <f>SUM(F5:F10)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2026-09-22T13:55:51Z</dcterms:created>
  <dcterms:modified xsi:type="dcterms:W3CDTF">2026-09-22T13:55:51Z</dcterms:modified>
</cp:coreProperties>
</file>