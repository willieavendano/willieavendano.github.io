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Sources" sheetId="2" state="visible" r:id="rId2"/>
    <sheet name="Food Table" sheetId="3" state="visible" r:id="rId3"/>
    <sheet name="Daily Log" sheetId="4" state="visible" r:id="rId4"/>
    <sheet name="Weekly Summary" sheetId="5" state="visible" r:id="rId5"/>
    <sheet name="Dashboard" sheetId="6" state="visible" r:id="rId6"/>
  </sheets>
  <definedNames>
    <definedName name="_xlnm._FilterDatabase" localSheetId="2" hidden="1">'Food Table'!$A$1:$G$16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E406A"/>
      <sz val="16"/>
    </font>
    <font>
      <b val="1"/>
      <color rgb="00141412"/>
    </font>
    <font>
      <b val="1"/>
      <color rgb="00FFFFFF"/>
    </font>
    <font>
      <i val="1"/>
      <color rgb="0055504A"/>
    </font>
    <font>
      <b val="1"/>
      <color rgb="00FFFFFF"/>
      <sz val="12"/>
    </font>
  </fonts>
  <fills count="10">
    <fill>
      <patternFill/>
    </fill>
    <fill>
      <patternFill patternType="gray125"/>
    </fill>
    <fill>
      <patternFill patternType="solid">
        <fgColor rgb="000E406A"/>
      </patternFill>
    </fill>
    <fill>
      <patternFill patternType="solid">
        <fgColor rgb="00D9E8F5"/>
      </patternFill>
    </fill>
    <fill>
      <patternFill patternType="solid">
        <fgColor rgb="00DDEBD3"/>
      </patternFill>
    </fill>
    <fill>
      <patternFill patternType="solid">
        <fgColor rgb="00FBE7C6"/>
      </patternFill>
    </fill>
    <fill>
      <patternFill patternType="solid">
        <fgColor rgb="00E7DDF2"/>
      </patternFill>
    </fill>
    <fill>
      <patternFill patternType="solid">
        <fgColor rgb="00F7D6D0"/>
      </patternFill>
    </fill>
    <fill>
      <patternFill patternType="solid">
        <fgColor rgb="00E8E8E4"/>
      </patternFill>
    </fill>
    <fill>
      <patternFill patternType="solid">
        <fgColor rgb="00F3EF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xf numFmtId="0" fontId="2" fillId="0" borderId="1" pivotButton="0" quotePrefix="0" xfId="0"/>
    <xf numFmtId="0" fontId="0"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0" fillId="7" borderId="1" applyAlignment="1" pivotButton="0" quotePrefix="0" xfId="0">
      <alignment horizontal="center"/>
    </xf>
    <xf numFmtId="0" fontId="0" fillId="8" borderId="1" applyAlignment="1" pivotButton="0" quotePrefix="0" xfId="0">
      <alignment horizontal="center"/>
    </xf>
    <xf numFmtId="0" fontId="4" fillId="0" borderId="0" applyAlignment="1" pivotButton="0" quotePrefix="0" xfId="0">
      <alignment vertical="center" wrapText="1"/>
    </xf>
    <xf numFmtId="0" fontId="0" fillId="0" borderId="1" applyAlignment="1" pivotButton="0" quotePrefix="0" xfId="0">
      <alignment horizontal="center"/>
    </xf>
    <xf numFmtId="0" fontId="0" fillId="9" borderId="1" pivotButton="0" quotePrefix="0" xfId="0"/>
    <xf numFmtId="0" fontId="0" fillId="9" borderId="1" applyAlignment="1" pivotButton="0" quotePrefix="0" xfId="0">
      <alignment horizontal="center"/>
    </xf>
    <xf numFmtId="0" fontId="2" fillId="0" borderId="0" pivotButton="0" quotePrefix="0" xfId="0"/>
    <xf numFmtId="0" fontId="5" fillId="2" borderId="0" applyAlignment="1" pivotButton="0" quotePrefix="0" xfId="0">
      <alignment vertical="center"/>
    </xf>
    <xf numFmtId="0" fontId="4" fillId="0" borderId="0" pivotButton="0" quotePrefix="0" xfId="0"/>
    <xf numFmtId="0" fontId="4" fillId="0" borderId="0" applyAlignment="1" pivotButton="0" quotePrefix="0" xfId="0">
      <alignment vertical="top" wrapText="1"/>
    </xf>
  </cellXfs>
  <cellStyles count="1">
    <cellStyle name="Normal" xfId="0" builtinId="0" hidden="0"/>
  </cellStyles>
  <dxfs count="6">
    <dxf>
      <fill>
        <patternFill patternType="solid">
          <fgColor rgb="00D9E8F5"/>
        </patternFill>
      </fill>
    </dxf>
    <dxf>
      <fill>
        <patternFill patternType="solid">
          <fgColor rgb="00DDEBD3"/>
        </patternFill>
      </fill>
    </dxf>
    <dxf>
      <fill>
        <patternFill patternType="solid">
          <fgColor rgb="00FBE7C6"/>
        </patternFill>
      </fill>
    </dxf>
    <dxf>
      <fill>
        <patternFill patternType="solid">
          <fgColor rgb="00E7DDF2"/>
        </patternFill>
      </fill>
    </dxf>
    <dxf>
      <fill>
        <patternFill patternType="solid">
          <fgColor rgb="00F7D6D0"/>
        </patternFill>
      </fill>
    </dxf>
    <dxf>
      <fill>
        <patternFill patternType="solid">
          <fgColor rgb="00E8E8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s>
  <sheetData>
    <row r="1">
      <c r="A1" s="1" t="inlineStr">
        <is>
          <t>Cornerstone I -- Food &amp; Macro Tracker</t>
        </is>
      </c>
    </row>
    <row r="3" ht="60" customHeight="1">
      <c r="A3" s="2" t="inlineStr">
        <is>
          <t>What is a cornerstone?</t>
        </is>
      </c>
      <c r="B3" s="3" t="inlineStr">
        <is>
          <t>Every unit in this course ends with a cornerstone project: a working model you design and build yourself, then present to the class. This workbook is the starter file for Cornerstone I -- it is NOT the finished project. It's the frame you build the real thing inside.</t>
        </is>
      </c>
    </row>
    <row r="4" ht="60" customHeight="1">
      <c r="A4" s="2" t="inlineStr">
        <is>
          <t>What's already built for you</t>
        </is>
      </c>
      <c r="B4" s="3" t="inlineStr">
        <is>
          <t>The Sources tab (reference table + color key). The Food Table headers and 15 starter foods with real, approximate macro values and a Source for each (add your own -- aim for 25+ by presentation day). The Daily Log headers, with dropdowns in the Meal, Food, and Source columns. The Weekly Summary and Dashboard layouts, with labeled boxes waiting for your formulas.</t>
        </is>
      </c>
    </row>
    <row r="5" ht="60" customHeight="1">
      <c r="A5" s="2" t="inlineStr">
        <is>
          <t>Source every number</t>
        </is>
      </c>
      <c r="B5" s="3" t="inlineStr">
        <is>
          <t>Every macro value you log must have a data origin, and you must record it in the Source column. The Sources tab lists the six accepted sources and the color that goes with each. Color-code every food's Source cell -- the color tells the reader how much to trust the number. A label beats an estimate.</t>
        </is>
      </c>
    </row>
    <row r="6" ht="60" customHeight="1">
      <c r="A6" s="2" t="inlineStr">
        <is>
          <t>What you build</t>
        </is>
      </c>
      <c r="B6" s="3" t="inlineStr">
        <is>
          <t>1) Grow the Food Table with foods you actually eat, each with its Source. 2) In the Daily Log, write VLOOKUP formulas that pull each row's Source and macros from the Food Table and multiply the macros by Servings. 3) In the Weekly Summary, write SUMIF/AVERAGEIF formulas that roll your log up by date. 4) In the Dashboard, summarize those daily figures and build at least one honest chart (no answer charts are pre-built for you).</t>
        </is>
      </c>
    </row>
    <row r="7" ht="60" customHeight="1">
      <c r="A7" s="2" t="inlineStr">
        <is>
          <t>Log 14 days</t>
        </is>
      </c>
      <c r="B7" s="3" t="inlineStr">
        <is>
          <t>The cornerstone requires at least 14 days of your own logged food data. Start early -- you cannot cram two weeks of real eating in the last night.</t>
        </is>
      </c>
    </row>
    <row r="8" ht="60" customHeight="1">
      <c r="A8" s="2" t="inlineStr">
        <is>
          <t>Two deliverables</t>
        </is>
      </c>
      <c r="B8" s="3" t="inlineStr">
        <is>
          <t>1) The final spreadsheet (this workbook, completed). 2) A final presentation to the class: a working tracker plus one real insight about your own eating patterns -- not just charts, an actual observation.</t>
        </is>
      </c>
    </row>
    <row r="9" ht="60" customHeight="1">
      <c r="A9" s="2" t="inlineStr">
        <is>
          <t>No answers here</t>
        </is>
      </c>
      <c r="B9" s="3" t="inlineStr">
        <is>
          <t>There are no formulas hidden anywhere in this workbook. Every formula you see in your finished tracker will be one you wrote. If a cell looks empty, that's on purpose -- that's your work.</t>
        </is>
      </c>
    </row>
    <row r="10" ht="60" customHeight="1">
      <c r="A10" s="2" t="inlineStr">
        <is>
          <t>Presentation date</t>
        </is>
      </c>
      <c r="B10" s="3" t="inlineStr">
        <is>
          <t>Thursday, October 15 (Week 8 of the Year Calendar). Bring a working tracker and the insight you found in your own data.</t>
        </is>
      </c>
    </row>
    <row r="11" ht="60" customHeight="1">
      <c r="A11" s="2" t="inlineStr">
        <is>
          <t>Rubric</t>
        </is>
      </c>
      <c r="B11" s="3" t="inlineStr">
        <is>
          <t>On the course kit page for this cornerstone (the same page linked from the class site) -- open the page and read it before you start building.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6" customWidth="1" min="1" max="1"/>
    <col width="52" customWidth="1" min="2" max="2"/>
    <col width="44" customWidth="1" min="3" max="3"/>
    <col width="12" customWidth="1" min="4" max="4"/>
  </cols>
  <sheetData>
    <row r="1">
      <c r="A1" s="4" t="inlineStr">
        <is>
          <t>Source</t>
        </is>
      </c>
      <c r="B1" s="4" t="inlineStr">
        <is>
          <t>What it's good for</t>
        </is>
      </c>
      <c r="C1" s="4" t="inlineStr">
        <is>
          <t>Where to get it</t>
        </is>
      </c>
      <c r="D1" s="4" t="inlineStr">
        <is>
          <t>Color</t>
        </is>
      </c>
    </row>
    <row r="2">
      <c r="A2" s="5" t="inlineStr">
        <is>
          <t>MyFitnessPal</t>
        </is>
      </c>
      <c r="B2" s="6" t="inlineStr">
        <is>
          <t>App database; convenient, user-submitted values</t>
        </is>
      </c>
      <c r="C2" s="6" t="inlineStr">
        <is>
          <t>myfitnesspal.com (or any food-logging app)</t>
        </is>
      </c>
      <c r="D2" s="7" t="inlineStr">
        <is>
          <t>D9E8F5</t>
        </is>
      </c>
    </row>
    <row r="3">
      <c r="A3" s="5" t="inlineStr">
        <is>
          <t>USDA FoodData Central</t>
        </is>
      </c>
      <c r="B3" s="6" t="inlineStr">
        <is>
          <t>Government reference; best for whole foods and basic ingredients</t>
        </is>
      </c>
      <c r="C3" s="6" t="inlineStr">
        <is>
          <t>fdc.nal.usda.gov (downloadable datasets)</t>
        </is>
      </c>
      <c r="D3" s="8" t="inlineStr">
        <is>
          <t>DDEBD3</t>
        </is>
      </c>
    </row>
    <row r="4">
      <c r="A4" s="5" t="inlineStr">
        <is>
          <t>Open Food Facts</t>
        </is>
      </c>
      <c r="B4" s="6" t="inlineStr">
        <is>
          <t>Open, crowd-sourced; best for packaged and branded foods</t>
        </is>
      </c>
      <c r="C4" s="6" t="inlineStr">
        <is>
          <t>world.openfoodfacts.org (CSV export)</t>
        </is>
      </c>
      <c r="D4" s="9" t="inlineStr">
        <is>
          <t>FBE7C6</t>
        </is>
      </c>
    </row>
    <row r="5">
      <c r="A5" s="5" t="inlineStr">
        <is>
          <t>Manufacturer label</t>
        </is>
      </c>
      <c r="B5" s="6" t="inlineStr">
        <is>
          <t>The package itself; authoritative for that exact product</t>
        </is>
      </c>
      <c r="C5" s="6" t="inlineStr">
        <is>
          <t>the label on the product</t>
        </is>
      </c>
      <c r="D5" s="10" t="inlineStr">
        <is>
          <t>E7DDF2</t>
        </is>
      </c>
    </row>
    <row r="6">
      <c r="A6" s="5" t="inlineStr">
        <is>
          <t>Restaurant nutrition</t>
        </is>
      </c>
      <c r="B6" s="6" t="inlineStr">
        <is>
          <t>Published by the restaurant; portions still vary</t>
        </is>
      </c>
      <c r="C6" s="6" t="inlineStr">
        <is>
          <t>the restaurant's site or app</t>
        </is>
      </c>
      <c r="D6" s="11" t="inlineStr">
        <is>
          <t>F7D6D0</t>
        </is>
      </c>
    </row>
    <row r="7">
      <c r="A7" s="5" t="inlineStr">
        <is>
          <t>Estimate / other</t>
        </is>
      </c>
      <c r="B7" s="6" t="inlineStr">
        <is>
          <t>Your own call; flag it honestly</t>
        </is>
      </c>
      <c r="C7" s="6" t="inlineStr">
        <is>
          <t>—</t>
        </is>
      </c>
      <c r="D7" s="12" t="inlineStr">
        <is>
          <t>E8E8E4</t>
        </is>
      </c>
    </row>
    <row r="9" ht="30" customHeight="1">
      <c r="A9" s="13" t="inlineStr">
        <is>
          <t>Color-code every food's Source cell. The color tells the reader how much to trust the number -- a label beats an estimate.</t>
        </is>
      </c>
    </row>
  </sheetData>
  <mergeCells count="1">
    <mergeCell ref="A9:D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2" customWidth="1" min="3" max="3"/>
    <col width="13" customWidth="1" min="4" max="4"/>
    <col width="12" customWidth="1" min="5" max="5"/>
    <col width="10" customWidth="1" min="6" max="6"/>
    <col width="24" customWidth="1" min="7" max="7"/>
  </cols>
  <sheetData>
    <row r="1">
      <c r="A1" s="4" t="inlineStr">
        <is>
          <t>Food</t>
        </is>
      </c>
      <c r="B1" s="4" t="inlineStr">
        <is>
          <t>Serving</t>
        </is>
      </c>
      <c r="C1" s="4" t="inlineStr">
        <is>
          <t>Calories</t>
        </is>
      </c>
      <c r="D1" s="4" t="inlineStr">
        <is>
          <t>Protein (g)</t>
        </is>
      </c>
      <c r="E1" s="4" t="inlineStr">
        <is>
          <t>Carbs (g)</t>
        </is>
      </c>
      <c r="F1" s="4" t="inlineStr">
        <is>
          <t>Fat (g)</t>
        </is>
      </c>
      <c r="G1" s="4" t="inlineStr">
        <is>
          <t>Source</t>
        </is>
      </c>
    </row>
    <row r="2">
      <c r="A2" s="6" t="inlineStr">
        <is>
          <t>Egg, large</t>
        </is>
      </c>
      <c r="B2" s="14" t="inlineStr">
        <is>
          <t>1 egg</t>
        </is>
      </c>
      <c r="C2" s="14" t="n">
        <v>72</v>
      </c>
      <c r="D2" s="14" t="n">
        <v>6.3</v>
      </c>
      <c r="E2" s="14" t="n">
        <v>0.4</v>
      </c>
      <c r="F2" s="14" t="n">
        <v>4.8</v>
      </c>
      <c r="G2" s="8" t="inlineStr">
        <is>
          <t>USDA FoodData Central</t>
        </is>
      </c>
    </row>
    <row r="3">
      <c r="A3" s="15" t="inlineStr">
        <is>
          <t>White rice, cooked</t>
        </is>
      </c>
      <c r="B3" s="16" t="inlineStr">
        <is>
          <t>1 cup</t>
        </is>
      </c>
      <c r="C3" s="16" t="n">
        <v>205</v>
      </c>
      <c r="D3" s="16" t="n">
        <v>4.3</v>
      </c>
      <c r="E3" s="16" t="n">
        <v>44.5</v>
      </c>
      <c r="F3" s="16" t="n">
        <v>0.4</v>
      </c>
      <c r="G3" s="8" t="inlineStr">
        <is>
          <t>USDA FoodData Central</t>
        </is>
      </c>
    </row>
    <row r="4">
      <c r="A4" s="6" t="inlineStr">
        <is>
          <t>Chicken breast, grilled</t>
        </is>
      </c>
      <c r="B4" s="14" t="inlineStr">
        <is>
          <t>100 g</t>
        </is>
      </c>
      <c r="C4" s="14" t="n">
        <v>165</v>
      </c>
      <c r="D4" s="14" t="n">
        <v>31</v>
      </c>
      <c r="E4" s="14" t="n">
        <v>0</v>
      </c>
      <c r="F4" s="14" t="n">
        <v>3.6</v>
      </c>
      <c r="G4" s="8" t="inlineStr">
        <is>
          <t>USDA FoodData Central</t>
        </is>
      </c>
    </row>
    <row r="5">
      <c r="A5" s="15" t="inlineStr">
        <is>
          <t>Black beans, cooked</t>
        </is>
      </c>
      <c r="B5" s="16" t="inlineStr">
        <is>
          <t>1 cup</t>
        </is>
      </c>
      <c r="C5" s="16" t="n">
        <v>227</v>
      </c>
      <c r="D5" s="16" t="n">
        <v>15.2</v>
      </c>
      <c r="E5" s="16" t="n">
        <v>40.8</v>
      </c>
      <c r="F5" s="16" t="n">
        <v>0.9</v>
      </c>
      <c r="G5" s="8" t="inlineStr">
        <is>
          <t>USDA FoodData Central</t>
        </is>
      </c>
    </row>
    <row r="6">
      <c r="A6" s="6" t="inlineStr">
        <is>
          <t>Cafecito con azucar (Cuban coffee, sweet)</t>
        </is>
      </c>
      <c r="B6" s="14" t="inlineStr">
        <is>
          <t>1 cup (8 oz)</t>
        </is>
      </c>
      <c r="C6" s="14" t="n">
        <v>40</v>
      </c>
      <c r="D6" s="14" t="n">
        <v>0.5</v>
      </c>
      <c r="E6" s="14" t="n">
        <v>8</v>
      </c>
      <c r="F6" s="14" t="n">
        <v>1</v>
      </c>
      <c r="G6" s="7" t="inlineStr">
        <is>
          <t>MyFitnessPal</t>
        </is>
      </c>
    </row>
    <row r="7">
      <c r="A7" s="15" t="inlineStr">
        <is>
          <t>Plantain, fried (maduros)</t>
        </is>
      </c>
      <c r="B7" s="16" t="inlineStr">
        <is>
          <t>1 cup</t>
        </is>
      </c>
      <c r="C7" s="16" t="n">
        <v>250</v>
      </c>
      <c r="D7" s="16" t="n">
        <v>1.4</v>
      </c>
      <c r="E7" s="16" t="n">
        <v>47</v>
      </c>
      <c r="F7" s="16" t="n">
        <v>8.6</v>
      </c>
      <c r="G7" s="11" t="inlineStr">
        <is>
          <t>Restaurant nutrition</t>
        </is>
      </c>
    </row>
    <row r="8">
      <c r="A8" s="6" t="inlineStr">
        <is>
          <t>Ropa vieja (shredded beef)</t>
        </is>
      </c>
      <c r="B8" s="14" t="inlineStr">
        <is>
          <t>1 cup</t>
        </is>
      </c>
      <c r="C8" s="14" t="n">
        <v>285</v>
      </c>
      <c r="D8" s="14" t="n">
        <v>26</v>
      </c>
      <c r="E8" s="14" t="n">
        <v>8</v>
      </c>
      <c r="F8" s="14" t="n">
        <v>17</v>
      </c>
      <c r="G8" s="11" t="inlineStr">
        <is>
          <t>Restaurant nutrition</t>
        </is>
      </c>
    </row>
    <row r="9">
      <c r="A9" s="15" t="inlineStr">
        <is>
          <t>Yuca con mojo</t>
        </is>
      </c>
      <c r="B9" s="16" t="inlineStr">
        <is>
          <t>1 cup</t>
        </is>
      </c>
      <c r="C9" s="16" t="n">
        <v>220</v>
      </c>
      <c r="D9" s="16" t="n">
        <v>1.6</v>
      </c>
      <c r="E9" s="16" t="n">
        <v>52</v>
      </c>
      <c r="F9" s="16" t="n">
        <v>0.3</v>
      </c>
      <c r="G9" s="11" t="inlineStr">
        <is>
          <t>Restaurant nutrition</t>
        </is>
      </c>
    </row>
    <row r="10">
      <c r="A10" s="6" t="inlineStr">
        <is>
          <t>Avocado</t>
        </is>
      </c>
      <c r="B10" s="14" t="inlineStr">
        <is>
          <t>1/2 fruit</t>
        </is>
      </c>
      <c r="C10" s="14" t="n">
        <v>160</v>
      </c>
      <c r="D10" s="14" t="n">
        <v>2</v>
      </c>
      <c r="E10" s="14" t="n">
        <v>8.5</v>
      </c>
      <c r="F10" s="14" t="n">
        <v>14.7</v>
      </c>
      <c r="G10" s="8" t="inlineStr">
        <is>
          <t>USDA FoodData Central</t>
        </is>
      </c>
    </row>
    <row r="11">
      <c r="A11" s="15" t="inlineStr">
        <is>
          <t>Croqueta (ham)</t>
        </is>
      </c>
      <c r="B11" s="16" t="inlineStr">
        <is>
          <t>1 piece</t>
        </is>
      </c>
      <c r="C11" s="16" t="n">
        <v>130</v>
      </c>
      <c r="D11" s="16" t="n">
        <v>4</v>
      </c>
      <c r="E11" s="16" t="n">
        <v>10</v>
      </c>
      <c r="F11" s="16" t="n">
        <v>8</v>
      </c>
      <c r="G11" s="9" t="inlineStr">
        <is>
          <t>Open Food Facts</t>
        </is>
      </c>
    </row>
    <row r="12">
      <c r="A12" s="6" t="inlineStr">
        <is>
          <t>Whole wheat bread</t>
        </is>
      </c>
      <c r="B12" s="14" t="inlineStr">
        <is>
          <t>1 slice</t>
        </is>
      </c>
      <c r="C12" s="14" t="n">
        <v>81</v>
      </c>
      <c r="D12" s="14" t="n">
        <v>4</v>
      </c>
      <c r="E12" s="14" t="n">
        <v>13.8</v>
      </c>
      <c r="F12" s="14" t="n">
        <v>1.1</v>
      </c>
      <c r="G12" s="10" t="inlineStr">
        <is>
          <t>Manufacturer label</t>
        </is>
      </c>
    </row>
    <row r="13">
      <c r="A13" s="15" t="inlineStr">
        <is>
          <t>Greek yogurt, plain</t>
        </is>
      </c>
      <c r="B13" s="16" t="inlineStr">
        <is>
          <t>1 cup (170 g)</t>
        </is>
      </c>
      <c r="C13" s="16" t="n">
        <v>100</v>
      </c>
      <c r="D13" s="16" t="n">
        <v>17</v>
      </c>
      <c r="E13" s="16" t="n">
        <v>6</v>
      </c>
      <c r="F13" s="16" t="n">
        <v>0.7</v>
      </c>
      <c r="G13" s="9" t="inlineStr">
        <is>
          <t>Open Food Facts</t>
        </is>
      </c>
    </row>
    <row r="14">
      <c r="A14" s="6" t="inlineStr">
        <is>
          <t>Banana</t>
        </is>
      </c>
      <c r="B14" s="14" t="inlineStr">
        <is>
          <t>1 medium</t>
        </is>
      </c>
      <c r="C14" s="14" t="n">
        <v>105</v>
      </c>
      <c r="D14" s="14" t="n">
        <v>1.3</v>
      </c>
      <c r="E14" s="14" t="n">
        <v>27</v>
      </c>
      <c r="F14" s="14" t="n">
        <v>0.4</v>
      </c>
      <c r="G14" s="8" t="inlineStr">
        <is>
          <t>USDA FoodData Central</t>
        </is>
      </c>
    </row>
    <row r="15">
      <c r="A15" s="15" t="inlineStr">
        <is>
          <t>Pizza slice, cheese</t>
        </is>
      </c>
      <c r="B15" s="16" t="inlineStr">
        <is>
          <t>1 slice</t>
        </is>
      </c>
      <c r="C15" s="16" t="n">
        <v>285</v>
      </c>
      <c r="D15" s="16" t="n">
        <v>12.2</v>
      </c>
      <c r="E15" s="16" t="n">
        <v>35.7</v>
      </c>
      <c r="F15" s="16" t="n">
        <v>10.4</v>
      </c>
      <c r="G15" s="11" t="inlineStr">
        <is>
          <t>Restaurant nutrition</t>
        </is>
      </c>
    </row>
    <row r="16">
      <c r="A16" s="6" t="inlineStr">
        <is>
          <t>Cafe con leche</t>
        </is>
      </c>
      <c r="B16" s="14" t="inlineStr">
        <is>
          <t>1 cup (8 oz)</t>
        </is>
      </c>
      <c r="C16" s="14" t="n">
        <v>110</v>
      </c>
      <c r="D16" s="14" t="n">
        <v>5</v>
      </c>
      <c r="E16" s="14" t="n">
        <v>11</v>
      </c>
      <c r="F16" s="14" t="n">
        <v>5</v>
      </c>
      <c r="G16" s="12" t="inlineStr">
        <is>
          <t>Estimate / other</t>
        </is>
      </c>
    </row>
  </sheetData>
  <autoFilter ref="A1:G16"/>
  <conditionalFormatting sqref="G2:G100">
    <cfRule type="expression" priority="1" dxfId="0">
      <formula>$G2="MyFitnessPal"</formula>
    </cfRule>
    <cfRule type="expression" priority="2" dxfId="1">
      <formula>$G2="USDA FoodData Central"</formula>
    </cfRule>
    <cfRule type="expression" priority="3" dxfId="2">
      <formula>$G2="Open Food Facts"</formula>
    </cfRule>
    <cfRule type="expression" priority="4" dxfId="3">
      <formula>$G2="Manufacturer label"</formula>
    </cfRule>
    <cfRule type="expression" priority="5" dxfId="4">
      <formula>$G2="Restaurant nutrition"</formula>
    </cfRule>
    <cfRule type="expression" priority="6" dxfId="5">
      <formula>$G2="Estimate / other"</formula>
    </cfRule>
  </conditionalFormatting>
  <dataValidations count="1">
    <dataValidation sqref="G2:G100" showDropDown="0" showInputMessage="0" showErrorMessage="0" allowBlank="1" errorTitle="Unknown source" error="Choose one of the six sources listed on the Sources tab." type="list">
      <formula1>='Sources'!$A$2:$A$7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10" customWidth="1" min="4" max="4"/>
    <col width="18" customWidth="1" min="5" max="5"/>
    <col width="10" customWidth="1" min="6" max="6"/>
    <col width="10" customWidth="1" min="7" max="7"/>
    <col width="10" customWidth="1" min="8" max="8"/>
    <col width="10" customWidth="1" min="9" max="9"/>
  </cols>
  <sheetData>
    <row r="1">
      <c r="A1" s="4" t="inlineStr">
        <is>
          <t>Date</t>
        </is>
      </c>
      <c r="B1" s="4" t="inlineStr">
        <is>
          <t>Meal</t>
        </is>
      </c>
      <c r="C1" s="4" t="inlineStr">
        <is>
          <t>Food</t>
        </is>
      </c>
      <c r="D1" s="4" t="inlineStr">
        <is>
          <t>Servings</t>
        </is>
      </c>
      <c r="E1" s="4" t="inlineStr">
        <is>
          <t>Source</t>
        </is>
      </c>
      <c r="F1" s="4" t="inlineStr">
        <is>
          <t>Calories</t>
        </is>
      </c>
      <c r="G1" s="4" t="inlineStr">
        <is>
          <t>Protein (g)</t>
        </is>
      </c>
      <c r="H1" s="4" t="inlineStr">
        <is>
          <t>Carbs (g)</t>
        </is>
      </c>
      <c r="I1" s="4" t="inlineStr">
        <is>
          <t>Fat (g)</t>
        </is>
      </c>
    </row>
    <row r="2">
      <c r="A2" s="6" t="inlineStr">
        <is>
          <t>2026-09-21</t>
        </is>
      </c>
      <c r="B2" s="6" t="inlineStr">
        <is>
          <t>Breakfast</t>
        </is>
      </c>
      <c r="C2" s="6" t="inlineStr">
        <is>
          <t>Egg, large</t>
        </is>
      </c>
      <c r="D2" s="6" t="n">
        <v>2</v>
      </c>
      <c r="E2" s="6" t="n"/>
      <c r="F2" s="6" t="n"/>
      <c r="G2" s="6" t="n"/>
      <c r="H2" s="6" t="n"/>
      <c r="I2" s="6" t="n"/>
    </row>
    <row r="3">
      <c r="A3" s="6" t="inlineStr">
        <is>
          <t>2026-09-21</t>
        </is>
      </c>
      <c r="B3" s="6" t="inlineStr">
        <is>
          <t>Lunch</t>
        </is>
      </c>
      <c r="C3" s="6" t="inlineStr">
        <is>
          <t>White rice, cooked</t>
        </is>
      </c>
      <c r="D3" s="6" t="n">
        <v>1</v>
      </c>
      <c r="E3" s="6" t="n"/>
      <c r="F3" s="6" t="n"/>
      <c r="G3" s="6" t="n"/>
      <c r="H3" s="6" t="n"/>
      <c r="I3" s="6" t="n"/>
    </row>
    <row r="4">
      <c r="A4" s="6" t="inlineStr">
        <is>
          <t>2026-09-21</t>
        </is>
      </c>
      <c r="B4" s="6" t="inlineStr">
        <is>
          <t>Dinner</t>
        </is>
      </c>
      <c r="C4" s="6" t="inlineStr">
        <is>
          <t>Ropa vieja (shredded beef)</t>
        </is>
      </c>
      <c r="D4" s="6" t="n">
        <v>1.5</v>
      </c>
      <c r="E4" s="6" t="n"/>
      <c r="F4" s="6" t="n"/>
      <c r="G4" s="6" t="n"/>
      <c r="H4" s="6" t="n"/>
      <c r="I4" s="6" t="n"/>
    </row>
    <row r="6" ht="60" customHeight="1">
      <c r="A6" s="13" t="inlineStr">
        <is>
          <t>Build it: in each Calories / Protein / Carbs / Fat cell above, write a VLOOKUP that finds this row's Food in the Food Table, then multiply by Servings. The Source column is a second VLOOKUP -- return column 7 (the last column) instead of the macros. The Meal groups come from the old tracker template: Breakfast / Lunch / Dinner / Snacks. Once the lookups work, keep logging your own real days starting row 7.</t>
        </is>
      </c>
    </row>
  </sheetData>
  <mergeCells count="1">
    <mergeCell ref="A6:I6"/>
  </mergeCells>
  <conditionalFormatting sqref="E2:E201">
    <cfRule type="expression" priority="1" dxfId="0">
      <formula>$E2="MyFitnessPal"</formula>
    </cfRule>
    <cfRule type="expression" priority="2" dxfId="1">
      <formula>$E2="USDA FoodData Central"</formula>
    </cfRule>
    <cfRule type="expression" priority="3" dxfId="2">
      <formula>$E2="Open Food Facts"</formula>
    </cfRule>
    <cfRule type="expression" priority="4" dxfId="3">
      <formula>$E2="Manufacturer label"</formula>
    </cfRule>
    <cfRule type="expression" priority="5" dxfId="4">
      <formula>$E2="Restaurant nutrition"</formula>
    </cfRule>
    <cfRule type="expression" priority="6" dxfId="5">
      <formula>$E2="Estimate / other"</formula>
    </cfRule>
  </conditionalFormatting>
  <dataValidations count="3">
    <dataValidation sqref="C2:C4 C7:C201" showDropDown="0" showInputMessage="0" showErrorMessage="0" allowBlank="1" errorTitle="Not in Food Table" error="Choose a food from the Food Table (or add it there first)." type="list">
      <formula1>='Food Table'!$A$2:$A$100</formula1>
    </dataValidation>
    <dataValidation sqref="B2:B4 B7:B201" showDropDown="0" showInputMessage="0" showErrorMessage="0" allowBlank="1" errorTitle="Unknown meal" error="Choose Breakfast, Lunch, Dinner, or Snacks." type="list">
      <formula1>"Breakfast,Lunch,Dinner,Snacks"</formula1>
    </dataValidation>
    <dataValidation sqref="E2:E4 E7:E201" showDropDown="0" showInputMessage="0" showErrorMessage="0" allowBlank="1" errorTitle="Unknown source" error="Choose one of the six sources listed on the Sources tab." type="list">
      <formula1>='Sources'!$A$2:$A$7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4" customWidth="1" min="6" max="6"/>
  </cols>
  <sheetData>
    <row r="1">
      <c r="A1" s="1" t="inlineStr">
        <is>
          <t>Weekly Summary</t>
        </is>
      </c>
    </row>
    <row r="2" ht="46" customHeight="1">
      <c r="A2" s="13" t="inlineStr">
        <is>
          <t>This is the weekly roll-up from the old tracker template -- now it computes itself from your log with SUMIF. Each metric cell below should be a SUMIF keyed on the Daily Log Date column (and the Days logged column a COUNTIF), so adding log rows updates this tab automatically.</t>
        </is>
      </c>
    </row>
    <row r="4">
      <c r="A4" s="4" t="inlineStr">
        <is>
          <t>Date</t>
        </is>
      </c>
      <c r="B4" s="4" t="inlineStr">
        <is>
          <t>Calories</t>
        </is>
      </c>
      <c r="C4" s="4" t="inlineStr">
        <is>
          <t>Protein (g)</t>
        </is>
      </c>
      <c r="D4" s="4" t="inlineStr">
        <is>
          <t>Carbs (g)</t>
        </is>
      </c>
      <c r="E4" s="4" t="inlineStr">
        <is>
          <t>Fat (g)</t>
        </is>
      </c>
      <c r="F4" s="4" t="inlineStr">
        <is>
          <t>Days logged</t>
        </is>
      </c>
    </row>
    <row r="5">
      <c r="A5" s="6" t="inlineStr">
        <is>
          <t>2026-09-21</t>
        </is>
      </c>
      <c r="B5" s="14" t="n"/>
      <c r="C5" s="14" t="n"/>
      <c r="D5" s="14" t="n"/>
      <c r="E5" s="14" t="n"/>
      <c r="F5" s="14" t="n"/>
    </row>
    <row r="6">
      <c r="A6" s="6" t="inlineStr">
        <is>
          <t>2026-09-22</t>
        </is>
      </c>
      <c r="B6" s="14" t="n"/>
      <c r="C6" s="14" t="n"/>
      <c r="D6" s="14" t="n"/>
      <c r="E6" s="14" t="n"/>
      <c r="F6" s="14" t="n"/>
    </row>
    <row r="7">
      <c r="A7" s="6" t="inlineStr">
        <is>
          <t>2026-09-23</t>
        </is>
      </c>
      <c r="B7" s="14" t="n"/>
      <c r="C7" s="14" t="n"/>
      <c r="D7" s="14" t="n"/>
      <c r="E7" s="14" t="n"/>
      <c r="F7" s="14" t="n"/>
    </row>
    <row r="8">
      <c r="A8" s="6" t="inlineStr">
        <is>
          <t>2026-09-24</t>
        </is>
      </c>
      <c r="B8" s="14" t="n"/>
      <c r="C8" s="14" t="n"/>
      <c r="D8" s="14" t="n"/>
      <c r="E8" s="14" t="n"/>
      <c r="F8" s="14" t="n"/>
    </row>
    <row r="9">
      <c r="A9" s="6" t="inlineStr">
        <is>
          <t>2026-09-25</t>
        </is>
      </c>
      <c r="B9" s="14" t="n"/>
      <c r="C9" s="14" t="n"/>
      <c r="D9" s="14" t="n"/>
      <c r="E9" s="14" t="n"/>
      <c r="F9" s="14" t="n"/>
    </row>
    <row r="10">
      <c r="A10" s="6" t="inlineStr">
        <is>
          <t>2026-09-26</t>
        </is>
      </c>
      <c r="B10" s="14" t="n"/>
      <c r="C10" s="14" t="n"/>
      <c r="D10" s="14" t="n"/>
      <c r="E10" s="14" t="n"/>
      <c r="F10" s="14" t="n"/>
    </row>
    <row r="11">
      <c r="A11" s="6" t="inlineStr">
        <is>
          <t>2026-09-27</t>
        </is>
      </c>
      <c r="B11" s="14" t="n"/>
      <c r="C11" s="14" t="n"/>
      <c r="D11" s="14" t="n"/>
      <c r="E11" s="14" t="n"/>
      <c r="F11" s="14" t="n"/>
    </row>
    <row r="12">
      <c r="A12" s="6" t="inlineStr">
        <is>
          <t>2026-09-28</t>
        </is>
      </c>
      <c r="B12" s="14" t="n"/>
      <c r="C12" s="14" t="n"/>
      <c r="D12" s="14" t="n"/>
      <c r="E12" s="14" t="n"/>
      <c r="F12" s="14" t="n"/>
    </row>
    <row r="13">
      <c r="A13" s="6" t="inlineStr">
        <is>
          <t>2026-09-29</t>
        </is>
      </c>
      <c r="B13" s="14" t="n"/>
      <c r="C13" s="14" t="n"/>
      <c r="D13" s="14" t="n"/>
      <c r="E13" s="14" t="n"/>
      <c r="F13" s="14" t="n"/>
    </row>
    <row r="14">
      <c r="A14" s="6" t="inlineStr">
        <is>
          <t>2026-09-30</t>
        </is>
      </c>
      <c r="B14" s="14" t="n"/>
      <c r="C14" s="14" t="n"/>
      <c r="D14" s="14" t="n"/>
      <c r="E14" s="14" t="n"/>
      <c r="F14" s="14" t="n"/>
    </row>
    <row r="15">
      <c r="A15" s="6" t="inlineStr">
        <is>
          <t>2026-10-01</t>
        </is>
      </c>
      <c r="B15" s="14" t="n"/>
      <c r="C15" s="14" t="n"/>
      <c r="D15" s="14" t="n"/>
      <c r="E15" s="14" t="n"/>
      <c r="F15" s="14" t="n"/>
    </row>
    <row r="16">
      <c r="A16" s="6" t="inlineStr">
        <is>
          <t>2026-10-02</t>
        </is>
      </c>
      <c r="B16" s="14" t="n"/>
      <c r="C16" s="14" t="n"/>
      <c r="D16" s="14" t="n"/>
      <c r="E16" s="14" t="n"/>
      <c r="F16" s="14" t="n"/>
    </row>
    <row r="17">
      <c r="A17" s="6" t="inlineStr">
        <is>
          <t>2026-10-03</t>
        </is>
      </c>
      <c r="B17" s="14" t="n"/>
      <c r="C17" s="14" t="n"/>
      <c r="D17" s="14" t="n"/>
      <c r="E17" s="14" t="n"/>
      <c r="F17" s="14" t="n"/>
    </row>
    <row r="18">
      <c r="A18" s="6" t="inlineStr">
        <is>
          <t>2026-10-04</t>
        </is>
      </c>
      <c r="B18" s="14" t="n"/>
      <c r="C18" s="14" t="n"/>
      <c r="D18" s="14" t="n"/>
      <c r="E18" s="14" t="n"/>
      <c r="F18" s="14" t="n"/>
    </row>
    <row r="19">
      <c r="A19" s="17" t="inlineStr">
        <is>
          <t>TOTALS</t>
        </is>
      </c>
    </row>
    <row r="20">
      <c r="A20" s="17" t="inlineStr">
        <is>
          <t>Daily average</t>
        </is>
      </c>
    </row>
    <row r="22" ht="46" customHeight="1">
      <c r="A22" s="13" t="inlineStr">
        <is>
          <t>Hint: the per-day metric cells are blank -- they are yours to write. Calories average = AVERAGEIF over the date-keyed Daily Log rows. The TOTALS and Daily average rows are blank too: use SUM and AVERAGE of the 14 daily rows above.</t>
        </is>
      </c>
    </row>
  </sheetData>
  <mergeCells count="3">
    <mergeCell ref="A2:F2"/>
    <mergeCell ref="A22:F2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min="1" max="1"/>
    <col width="16" customWidth="1" min="2" max="2"/>
    <col width="16" customWidth="1" min="3" max="3"/>
    <col width="16" customWidth="1" min="4" max="4"/>
    <col width="44" customWidth="1" min="5" max="5"/>
  </cols>
  <sheetData>
    <row r="1">
      <c r="A1" s="1" t="inlineStr">
        <is>
          <t>Dashboard</t>
        </is>
      </c>
    </row>
    <row r="3">
      <c r="A3" s="18" t="inlineStr">
        <is>
          <t>Daily Averages</t>
        </is>
      </c>
    </row>
    <row r="4">
      <c r="A4" s="17" t="inlineStr">
        <is>
          <t>Metric</t>
        </is>
      </c>
      <c r="B4" s="17" t="inlineStr">
        <is>
          <t>Value</t>
        </is>
      </c>
      <c r="E4" s="17" t="inlineStr">
        <is>
          <t>Notes</t>
        </is>
      </c>
    </row>
    <row r="5">
      <c r="A5" t="inlineStr">
        <is>
          <t>Average Calories / Day</t>
        </is>
      </c>
      <c r="B5" s="6" t="n"/>
      <c r="E5" s="19" t="inlineStr">
        <is>
          <t>&lt;- your AVERAGEIF formula goes here (Weekly Summary, keyed by date)</t>
        </is>
      </c>
    </row>
    <row r="6">
      <c r="A6" t="inlineStr">
        <is>
          <t>Average Protein (g) / Day</t>
        </is>
      </c>
      <c r="B6" s="6" t="n"/>
      <c r="E6" s="19" t="inlineStr">
        <is>
          <t>&lt;- your AVERAGEIF formula goes here (Weekly Summary, keyed by date)</t>
        </is>
      </c>
    </row>
    <row r="7">
      <c r="A7" t="inlineStr">
        <is>
          <t>Average Carbs (g) / Day</t>
        </is>
      </c>
      <c r="B7" s="6" t="n"/>
      <c r="E7" s="19" t="inlineStr">
        <is>
          <t>&lt;- your AVERAGEIF formula goes here (Weekly Summary, keyed by date)</t>
        </is>
      </c>
    </row>
    <row r="8">
      <c r="A8" t="inlineStr">
        <is>
          <t>Average Fat (g) / Day</t>
        </is>
      </c>
      <c r="B8" s="6" t="n"/>
      <c r="E8" s="19" t="inlineStr">
        <is>
          <t>&lt;- your AVERAGEIF formula goes here (Weekly Summary, keyed by date)</t>
        </is>
      </c>
    </row>
    <row r="10">
      <c r="A10" s="18" t="inlineStr">
        <is>
          <t>Target vs. Actual</t>
        </is>
      </c>
    </row>
    <row r="11">
      <c r="A11" s="17" t="inlineStr">
        <is>
          <t>Metric</t>
        </is>
      </c>
      <c r="B11" s="17" t="inlineStr">
        <is>
          <t>Target</t>
        </is>
      </c>
      <c r="C11" s="17" t="inlineStr">
        <is>
          <t>Actual</t>
        </is>
      </c>
      <c r="D11" s="17" t="inlineStr">
        <is>
          <t>Difference</t>
        </is>
      </c>
    </row>
    <row r="12">
      <c r="A12" t="inlineStr">
        <is>
          <t>Calories</t>
        </is>
      </c>
      <c r="B12" s="6" t="n"/>
      <c r="C12" s="6" t="n"/>
      <c r="D12" s="6" t="n"/>
    </row>
    <row r="13">
      <c r="A13" t="inlineStr">
        <is>
          <t>Protein (g)</t>
        </is>
      </c>
      <c r="B13" s="6" t="n"/>
      <c r="C13" s="6" t="n"/>
      <c r="D13" s="6" t="n"/>
    </row>
    <row r="14">
      <c r="A14" t="inlineStr">
        <is>
          <t>Carbs (g)</t>
        </is>
      </c>
      <c r="B14" s="6" t="n"/>
      <c r="C14" s="6" t="n"/>
      <c r="D14" s="6" t="n"/>
    </row>
    <row r="15">
      <c r="A15" t="inlineStr">
        <is>
          <t>Fat (g)</t>
        </is>
      </c>
      <c r="B15" s="6" t="n"/>
      <c r="C15" s="6" t="n"/>
      <c r="D15" s="6" t="n"/>
    </row>
    <row r="16">
      <c r="E16" s="19" t="inlineStr">
        <is>
          <t>&lt;- Target: your own goal. Actual: pull from Daily Averages above.</t>
        </is>
      </c>
    </row>
    <row r="18">
      <c r="A18" s="18" t="inlineStr">
        <is>
          <t>Chart</t>
        </is>
      </c>
    </row>
    <row r="19" ht="50" customHeight="1">
      <c r="A19" s="20" t="inlineStr">
        <is>
          <t>Insert your chart here: select A11:D15 (the Target vs. Actual table), then Insert &gt; Chart &gt; Clustered Column. Drag the chart into the empty space below this note.</t>
        </is>
      </c>
    </row>
    <row r="20"/>
    <row r="21"/>
  </sheetData>
  <mergeCells count="5">
    <mergeCell ref="A19:E21"/>
    <mergeCell ref="A10:E10"/>
    <mergeCell ref="A1:E1"/>
    <mergeCell ref="A18:E18"/>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2026-09-22T13:55:50Z</dcterms:created>
  <dcterms:modified xsi:type="dcterms:W3CDTF">2026-09-22T13:55:50Z</dcterms:modified>
</cp:coreProperties>
</file>