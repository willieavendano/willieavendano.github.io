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Food Table" sheetId="2" state="visible" r:id="rId2"/>
    <sheet name="Daily Log" sheetId="3" state="visible" r:id="rId3"/>
    <sheet name="Dashboard" sheetId="4" state="visible" r:id="rId4"/>
  </sheets>
  <definedNames>
    <definedName name="_xlnm._FilterDatabase" localSheetId="1" hidden="1">'Food Table'!$A$1:$F$16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E406A"/>
      <sz val="16"/>
    </font>
    <font>
      <b val="1"/>
      <color rgb="00141412"/>
    </font>
    <font>
      <b val="1"/>
      <color rgb="00FFFFFF"/>
    </font>
    <font>
      <i val="1"/>
      <color rgb="0055504A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0E406A"/>
      </patternFill>
    </fill>
    <fill>
      <patternFill patternType="solid">
        <fgColor rgb="00F3EF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0" fontId="0" fillId="3" borderId="1" applyAlignment="1" pivotButton="0" quotePrefix="0" xfId="0">
      <alignment horizontal="center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Cornerstone I -- Food &amp; Macro Tracker</t>
        </is>
      </c>
    </row>
    <row r="3" ht="60" customHeight="1">
      <c r="A3" s="2" t="inlineStr">
        <is>
          <t>What is a cornerstone?</t>
        </is>
      </c>
      <c r="B3" s="3" t="inlineStr">
        <is>
          <t>Every unit in this course ends with a cornerstone project: a working model you design and build yourself, then present to the class. This workbook is the starter file for Cornerstone I -- it is NOT the finished project. It's the frame you build the real thing inside.</t>
        </is>
      </c>
    </row>
    <row r="4" ht="60" customHeight="1">
      <c r="A4" s="2" t="inlineStr">
        <is>
          <t>What's already built for you</t>
        </is>
      </c>
      <c r="B4" s="3" t="inlineStr">
        <is>
          <t>The Food Table headers and 15 starter foods with real, approximate macro values (add your own -- aim for 25+ by presentation day). The Daily Log headers, with a dropdown in the Food column pulled straight from your Food Table. The Dashboard layout, with labeled boxes waiting for your formulas.</t>
        </is>
      </c>
    </row>
    <row r="5" ht="60" customHeight="1">
      <c r="A5" s="2" t="inlineStr">
        <is>
          <t>What you build</t>
        </is>
      </c>
      <c r="B5" s="3" t="inlineStr">
        <is>
          <t>1) Grow the Food Table with foods you actually eat. 2) In the Daily Log, write the VLOOKUP formulas in the Calories/Protein/Carbs/Fat columns that look up each row's Food in the Food Table and multiply by Servings -- then keep logging real days. 3) In the Dashboard, write the SUMIF/AVERAGEIF formulas that summarize your log. 4) Build at least one honest chart from your own data (no answer charts are pre-built for you).</t>
        </is>
      </c>
    </row>
    <row r="6" ht="60" customHeight="1">
      <c r="A6" s="2" t="inlineStr">
        <is>
          <t>No answers here</t>
        </is>
      </c>
      <c r="B6" s="3" t="inlineStr">
        <is>
          <t>There are no formulas hidden anywhere in this workbook. Every formula you see in your finished tracker will be one you wrote. If a cell looks empty, that's on purpose -- that's your work.</t>
        </is>
      </c>
    </row>
    <row r="7" ht="60" customHeight="1">
      <c r="A7" s="2" t="inlineStr">
        <is>
          <t>Presentation date</t>
        </is>
      </c>
      <c r="B7" s="3" t="inlineStr">
        <is>
          <t>Thursday, October 15 (Week 8 of the Year Calendar). Bring a working tracker and one real insight about your own eating patterns -- not just charts, an actual observation.</t>
        </is>
      </c>
    </row>
    <row r="8" ht="60" customHeight="1">
      <c r="A8" s="2" t="inlineStr">
        <is>
          <t>Rubric</t>
        </is>
      </c>
      <c r="B8" s="3" t="inlineStr">
        <is>
          <t>Posted in the course Drive folder -- see the README's Google Drive link.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13" customWidth="1" min="4" max="4"/>
    <col width="12" customWidth="1" min="5" max="5"/>
    <col width="10" customWidth="1" min="6" max="6"/>
  </cols>
  <sheetData>
    <row r="1">
      <c r="A1" s="4" t="inlineStr">
        <is>
          <t>Food</t>
        </is>
      </c>
      <c r="B1" s="4" t="inlineStr">
        <is>
          <t>Serving</t>
        </is>
      </c>
      <c r="C1" s="4" t="inlineStr">
        <is>
          <t>Calories</t>
        </is>
      </c>
      <c r="D1" s="4" t="inlineStr">
        <is>
          <t>Protein (g)</t>
        </is>
      </c>
      <c r="E1" s="4" t="inlineStr">
        <is>
          <t>Carbs (g)</t>
        </is>
      </c>
      <c r="F1" s="4" t="inlineStr">
        <is>
          <t>Fat (g)</t>
        </is>
      </c>
    </row>
    <row r="2">
      <c r="A2" s="5" t="inlineStr">
        <is>
          <t>Egg, large</t>
        </is>
      </c>
      <c r="B2" s="6" t="inlineStr">
        <is>
          <t>1 egg</t>
        </is>
      </c>
      <c r="C2" s="6" t="n">
        <v>72</v>
      </c>
      <c r="D2" s="6" t="n">
        <v>6.3</v>
      </c>
      <c r="E2" s="6" t="n">
        <v>0.4</v>
      </c>
      <c r="F2" s="6" t="n">
        <v>4.8</v>
      </c>
    </row>
    <row r="3">
      <c r="A3" s="7" t="inlineStr">
        <is>
          <t>White rice, cooked</t>
        </is>
      </c>
      <c r="B3" s="8" t="inlineStr">
        <is>
          <t>1 cup</t>
        </is>
      </c>
      <c r="C3" s="8" t="n">
        <v>205</v>
      </c>
      <c r="D3" s="8" t="n">
        <v>4.3</v>
      </c>
      <c r="E3" s="8" t="n">
        <v>44.5</v>
      </c>
      <c r="F3" s="8" t="n">
        <v>0.4</v>
      </c>
    </row>
    <row r="4">
      <c r="A4" s="5" t="inlineStr">
        <is>
          <t>Chicken breast, grilled</t>
        </is>
      </c>
      <c r="B4" s="6" t="inlineStr">
        <is>
          <t>100 g</t>
        </is>
      </c>
      <c r="C4" s="6" t="n">
        <v>165</v>
      </c>
      <c r="D4" s="6" t="n">
        <v>31</v>
      </c>
      <c r="E4" s="6" t="n">
        <v>0</v>
      </c>
      <c r="F4" s="6" t="n">
        <v>3.6</v>
      </c>
    </row>
    <row r="5">
      <c r="A5" s="7" t="inlineStr">
        <is>
          <t>Black beans, cooked</t>
        </is>
      </c>
      <c r="B5" s="8" t="inlineStr">
        <is>
          <t>1 cup</t>
        </is>
      </c>
      <c r="C5" s="8" t="n">
        <v>227</v>
      </c>
      <c r="D5" s="8" t="n">
        <v>15.2</v>
      </c>
      <c r="E5" s="8" t="n">
        <v>40.8</v>
      </c>
      <c r="F5" s="8" t="n">
        <v>0.9</v>
      </c>
    </row>
    <row r="6">
      <c r="A6" s="5" t="inlineStr">
        <is>
          <t>Cafecito con azucar (Cuban coffee, sweet)</t>
        </is>
      </c>
      <c r="B6" s="6" t="inlineStr">
        <is>
          <t>1 cup (8 oz)</t>
        </is>
      </c>
      <c r="C6" s="6" t="n">
        <v>40</v>
      </c>
      <c r="D6" s="6" t="n">
        <v>0.5</v>
      </c>
      <c r="E6" s="6" t="n">
        <v>8</v>
      </c>
      <c r="F6" s="6" t="n">
        <v>1</v>
      </c>
    </row>
    <row r="7">
      <c r="A7" s="7" t="inlineStr">
        <is>
          <t>Plantain, fried (maduros)</t>
        </is>
      </c>
      <c r="B7" s="8" t="inlineStr">
        <is>
          <t>1 cup</t>
        </is>
      </c>
      <c r="C7" s="8" t="n">
        <v>250</v>
      </c>
      <c r="D7" s="8" t="n">
        <v>1.4</v>
      </c>
      <c r="E7" s="8" t="n">
        <v>47</v>
      </c>
      <c r="F7" s="8" t="n">
        <v>8.6</v>
      </c>
    </row>
    <row r="8">
      <c r="A8" s="5" t="inlineStr">
        <is>
          <t>Ropa vieja (shredded beef)</t>
        </is>
      </c>
      <c r="B8" s="6" t="inlineStr">
        <is>
          <t>1 cup</t>
        </is>
      </c>
      <c r="C8" s="6" t="n">
        <v>285</v>
      </c>
      <c r="D8" s="6" t="n">
        <v>26</v>
      </c>
      <c r="E8" s="6" t="n">
        <v>8</v>
      </c>
      <c r="F8" s="6" t="n">
        <v>17</v>
      </c>
    </row>
    <row r="9">
      <c r="A9" s="7" t="inlineStr">
        <is>
          <t>Yuca con mojo</t>
        </is>
      </c>
      <c r="B9" s="8" t="inlineStr">
        <is>
          <t>1 cup</t>
        </is>
      </c>
      <c r="C9" s="8" t="n">
        <v>220</v>
      </c>
      <c r="D9" s="8" t="n">
        <v>1.6</v>
      </c>
      <c r="E9" s="8" t="n">
        <v>52</v>
      </c>
      <c r="F9" s="8" t="n">
        <v>0.3</v>
      </c>
    </row>
    <row r="10">
      <c r="A10" s="5" t="inlineStr">
        <is>
          <t>Avocado</t>
        </is>
      </c>
      <c r="B10" s="6" t="inlineStr">
        <is>
          <t>1/2 fruit</t>
        </is>
      </c>
      <c r="C10" s="6" t="n">
        <v>160</v>
      </c>
      <c r="D10" s="6" t="n">
        <v>2</v>
      </c>
      <c r="E10" s="6" t="n">
        <v>8.5</v>
      </c>
      <c r="F10" s="6" t="n">
        <v>14.7</v>
      </c>
    </row>
    <row r="11">
      <c r="A11" s="7" t="inlineStr">
        <is>
          <t>Croqueta (ham)</t>
        </is>
      </c>
      <c r="B11" s="8" t="inlineStr">
        <is>
          <t>1 piece</t>
        </is>
      </c>
      <c r="C11" s="8" t="n">
        <v>130</v>
      </c>
      <c r="D11" s="8" t="n">
        <v>4</v>
      </c>
      <c r="E11" s="8" t="n">
        <v>10</v>
      </c>
      <c r="F11" s="8" t="n">
        <v>8</v>
      </c>
    </row>
    <row r="12">
      <c r="A12" s="5" t="inlineStr">
        <is>
          <t>Whole wheat bread</t>
        </is>
      </c>
      <c r="B12" s="6" t="inlineStr">
        <is>
          <t>1 slice</t>
        </is>
      </c>
      <c r="C12" s="6" t="n">
        <v>81</v>
      </c>
      <c r="D12" s="6" t="n">
        <v>4</v>
      </c>
      <c r="E12" s="6" t="n">
        <v>13.8</v>
      </c>
      <c r="F12" s="6" t="n">
        <v>1.1</v>
      </c>
    </row>
    <row r="13">
      <c r="A13" s="7" t="inlineStr">
        <is>
          <t>Greek yogurt, plain</t>
        </is>
      </c>
      <c r="B13" s="8" t="inlineStr">
        <is>
          <t>1 cup (170 g)</t>
        </is>
      </c>
      <c r="C13" s="8" t="n">
        <v>100</v>
      </c>
      <c r="D13" s="8" t="n">
        <v>17</v>
      </c>
      <c r="E13" s="8" t="n">
        <v>6</v>
      </c>
      <c r="F13" s="8" t="n">
        <v>0.7</v>
      </c>
    </row>
    <row r="14">
      <c r="A14" s="5" t="inlineStr">
        <is>
          <t>Banana</t>
        </is>
      </c>
      <c r="B14" s="6" t="inlineStr">
        <is>
          <t>1 medium</t>
        </is>
      </c>
      <c r="C14" s="6" t="n">
        <v>105</v>
      </c>
      <c r="D14" s="6" t="n">
        <v>1.3</v>
      </c>
      <c r="E14" s="6" t="n">
        <v>27</v>
      </c>
      <c r="F14" s="6" t="n">
        <v>0.4</v>
      </c>
    </row>
    <row r="15">
      <c r="A15" s="7" t="inlineStr">
        <is>
          <t>Pizza slice, cheese</t>
        </is>
      </c>
      <c r="B15" s="8" t="inlineStr">
        <is>
          <t>1 slice</t>
        </is>
      </c>
      <c r="C15" s="8" t="n">
        <v>285</v>
      </c>
      <c r="D15" s="8" t="n">
        <v>12.2</v>
      </c>
      <c r="E15" s="8" t="n">
        <v>35.7</v>
      </c>
      <c r="F15" s="8" t="n">
        <v>10.4</v>
      </c>
    </row>
    <row r="16">
      <c r="A16" s="5" t="inlineStr">
        <is>
          <t>Cafe con leche</t>
        </is>
      </c>
      <c r="B16" s="6" t="inlineStr">
        <is>
          <t>1 cup (8 oz)</t>
        </is>
      </c>
      <c r="C16" s="6" t="n">
        <v>110</v>
      </c>
      <c r="D16" s="6" t="n">
        <v>5</v>
      </c>
      <c r="E16" s="6" t="n">
        <v>11</v>
      </c>
      <c r="F16" s="6" t="n">
        <v>5</v>
      </c>
    </row>
  </sheetData>
  <autoFilter ref="A1:F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Date</t>
        </is>
      </c>
      <c r="B1" s="4" t="inlineStr">
        <is>
          <t>Meal</t>
        </is>
      </c>
      <c r="C1" s="4" t="inlineStr">
        <is>
          <t>Food</t>
        </is>
      </c>
      <c r="D1" s="4" t="inlineStr">
        <is>
          <t>Servings</t>
        </is>
      </c>
      <c r="E1" s="4" t="inlineStr">
        <is>
          <t>Calories</t>
        </is>
      </c>
      <c r="F1" s="4" t="inlineStr">
        <is>
          <t>Protein</t>
        </is>
      </c>
      <c r="G1" s="4" t="inlineStr">
        <is>
          <t>Carbs</t>
        </is>
      </c>
      <c r="H1" s="4" t="inlineStr">
        <is>
          <t>Fat</t>
        </is>
      </c>
    </row>
    <row r="2">
      <c r="A2" s="5" t="inlineStr">
        <is>
          <t>2026-09-21</t>
        </is>
      </c>
      <c r="B2" s="5" t="inlineStr">
        <is>
          <t>Breakfast</t>
        </is>
      </c>
      <c r="C2" s="5" t="inlineStr">
        <is>
          <t>Egg, large</t>
        </is>
      </c>
      <c r="D2" s="5" t="n">
        <v>2</v>
      </c>
      <c r="E2" s="5" t="n"/>
      <c r="F2" s="5" t="n"/>
      <c r="G2" s="5" t="n"/>
      <c r="H2" s="5" t="n"/>
    </row>
    <row r="3">
      <c r="A3" s="5" t="inlineStr">
        <is>
          <t>2026-09-21</t>
        </is>
      </c>
      <c r="B3" s="5" t="inlineStr">
        <is>
          <t>Lunch</t>
        </is>
      </c>
      <c r="C3" s="5" t="inlineStr">
        <is>
          <t>White rice, cooked</t>
        </is>
      </c>
      <c r="D3" s="5" t="n">
        <v>1</v>
      </c>
      <c r="E3" s="5" t="n"/>
      <c r="F3" s="5" t="n"/>
      <c r="G3" s="5" t="n"/>
      <c r="H3" s="5" t="n"/>
    </row>
    <row r="4">
      <c r="A4" s="5" t="inlineStr">
        <is>
          <t>2026-09-21</t>
        </is>
      </c>
      <c r="B4" s="5" t="inlineStr">
        <is>
          <t>Dinner</t>
        </is>
      </c>
      <c r="C4" s="5" t="inlineStr">
        <is>
          <t>Ropa vieja (shredded beef)</t>
        </is>
      </c>
      <c r="D4" s="5" t="n">
        <v>1.5</v>
      </c>
      <c r="E4" s="5" t="n"/>
      <c r="F4" s="5" t="n"/>
      <c r="G4" s="5" t="n"/>
      <c r="H4" s="5" t="n"/>
    </row>
    <row r="6" ht="45" customHeight="1">
      <c r="A6" s="9" t="inlineStr">
        <is>
          <t>Build it: in each Calories / Protein / Carbs / Fat cell above, write a VLOOKUP that finds this row's Food in the Food Table, then multiply by Servings. Once that works, keep logging your own real days starting row 7 -- the Food column dropdown pulls its list from your Food Table automatically.</t>
        </is>
      </c>
    </row>
  </sheetData>
  <mergeCells count="1">
    <mergeCell ref="A6:H6"/>
  </mergeCells>
  <dataValidations count="1">
    <dataValidation sqref="C2:C4 C7:C201" showDropDown="0" showInputMessage="0" showErrorMessage="0" allowBlank="1" errorTitle="Not in Food Table" error="Choose a food from the Food Table (or add it there first)." type="list">
      <formula1>='Food Table'!$A$2:$A$16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Dashboard</t>
        </is>
      </c>
    </row>
    <row r="3">
      <c r="A3" s="10" t="inlineStr">
        <is>
          <t>Daily Averages</t>
        </is>
      </c>
    </row>
    <row r="4">
      <c r="A4" s="11" t="inlineStr">
        <is>
          <t>Metric</t>
        </is>
      </c>
      <c r="B4" s="11" t="inlineStr">
        <is>
          <t>Value</t>
        </is>
      </c>
      <c r="E4" s="11" t="inlineStr">
        <is>
          <t>Notes</t>
        </is>
      </c>
    </row>
    <row r="5">
      <c r="A5" t="inlineStr">
        <is>
          <t>Average Calories / Day</t>
        </is>
      </c>
      <c r="B5" s="5" t="n"/>
      <c r="E5" s="12" t="inlineStr">
        <is>
          <t>&lt;- your AVERAGEIF formula goes here (Daily Log, matched by date)</t>
        </is>
      </c>
    </row>
    <row r="6">
      <c r="A6" t="inlineStr">
        <is>
          <t>Average Protein (g) / Day</t>
        </is>
      </c>
      <c r="B6" s="5" t="n"/>
      <c r="E6" s="12" t="inlineStr">
        <is>
          <t>&lt;- your AVERAGEIF formula goes here (Daily Log, matched by date)</t>
        </is>
      </c>
    </row>
    <row r="7">
      <c r="A7" t="inlineStr">
        <is>
          <t>Average Carbs (g) / Day</t>
        </is>
      </c>
      <c r="B7" s="5" t="n"/>
      <c r="E7" s="12" t="inlineStr">
        <is>
          <t>&lt;- your AVERAGEIF formula goes here (Daily Log, matched by date)</t>
        </is>
      </c>
    </row>
    <row r="8">
      <c r="A8" t="inlineStr">
        <is>
          <t>Average Fat (g) / Day</t>
        </is>
      </c>
      <c r="B8" s="5" t="n"/>
      <c r="E8" s="12" t="inlineStr">
        <is>
          <t>&lt;- your AVERAGEIF formula goes here (Daily Log, matched by date)</t>
        </is>
      </c>
    </row>
    <row r="10">
      <c r="A10" s="10" t="inlineStr">
        <is>
          <t>Target vs. Actual</t>
        </is>
      </c>
    </row>
    <row r="11">
      <c r="A11" s="11" t="inlineStr">
        <is>
          <t>Metric</t>
        </is>
      </c>
      <c r="B11" s="11" t="inlineStr">
        <is>
          <t>Target</t>
        </is>
      </c>
      <c r="C11" s="11" t="inlineStr">
        <is>
          <t>Actual</t>
        </is>
      </c>
      <c r="D11" s="11" t="inlineStr">
        <is>
          <t>Difference</t>
        </is>
      </c>
    </row>
    <row r="12">
      <c r="A12" t="inlineStr">
        <is>
          <t>Calories</t>
        </is>
      </c>
      <c r="B12" s="5" t="n"/>
      <c r="C12" s="5" t="n"/>
      <c r="D12" s="5" t="n"/>
    </row>
    <row r="13">
      <c r="A13" t="inlineStr">
        <is>
          <t>Protein (g)</t>
        </is>
      </c>
      <c r="B13" s="5" t="n"/>
      <c r="C13" s="5" t="n"/>
      <c r="D13" s="5" t="n"/>
    </row>
    <row r="14">
      <c r="A14" t="inlineStr">
        <is>
          <t>Carbs (g)</t>
        </is>
      </c>
      <c r="B14" s="5" t="n"/>
      <c r="C14" s="5" t="n"/>
      <c r="D14" s="5" t="n"/>
    </row>
    <row r="15">
      <c r="A15" t="inlineStr">
        <is>
          <t>Fat (g)</t>
        </is>
      </c>
      <c r="B15" s="5" t="n"/>
      <c r="C15" s="5" t="n"/>
      <c r="D15" s="5" t="n"/>
    </row>
    <row r="16">
      <c r="E16" s="12" t="inlineStr">
        <is>
          <t>&lt;- Target: your own goal. Actual: pull from Daily Averages above.</t>
        </is>
      </c>
    </row>
    <row r="18">
      <c r="A18" s="10" t="inlineStr">
        <is>
          <t>Chart</t>
        </is>
      </c>
    </row>
    <row r="19" ht="50" customHeight="1">
      <c r="A19" s="13" t="inlineStr">
        <is>
          <t>Insert your chart here: select A11:D15 (the Target vs. Actual table), then Insert &gt; Chart &gt; Clustered Column. Drag the chart into the empty space below this note.</t>
        </is>
      </c>
    </row>
    <row r="20"/>
    <row r="21"/>
  </sheetData>
  <mergeCells count="5">
    <mergeCell ref="A19:E21"/>
    <mergeCell ref="A10:E10"/>
    <mergeCell ref="A1:E1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2026-07-08T08:38:24Z</dcterms:created>
  <dcterms:modified xsi:type="dcterms:W3CDTF">2026-07-08T08:38:24Z</dcterms:modified>
</cp:coreProperties>
</file>