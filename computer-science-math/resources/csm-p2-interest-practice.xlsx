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-2 HYSA Growth" sheetId="2" state="visible" r:id="rId2"/>
    <sheet name="3-4 The Loan" sheetId="3" state="visible" r:id="rId3"/>
    <sheet name="5 Which Lo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i val="1"/>
      <color rgb="0055504A"/>
    </font>
    <font>
      <b val="1"/>
      <color rgb="000E406A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EFE7"/>
      </patternFill>
    </fill>
    <fill>
      <patternFill patternType="solid">
        <fgColor rgb="000E40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2" borderId="0" pivotButton="0" quotePrefix="0" xfId="0"/>
    <xf numFmtId="10" fontId="0" fillId="2" borderId="0" pivotButton="0" quotePrefix="0" xfId="0"/>
    <xf numFmtId="1" fontId="0" fillId="2" borderId="0" pivotButton="0" quotePrefix="0" xfId="0"/>
    <xf numFmtId="0" fontId="5" fillId="3" borderId="0" applyAlignment="1" pivotButton="0" quotePrefix="0" xfId="0">
      <alignment vertical="center" wrapText="1"/>
    </xf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growth</a:t>
            </a:r>
          </a:p>
        </rich>
      </tx>
    </title>
    <plotArea>
      <lineChart>
        <grouping val="standard"/>
        <ser>
          <idx val="0"/>
          <order val="0"/>
          <tx>
            <strRef>
              <f>'1-2 HYSA Growth'!D10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'1-2 HYSA Growth'!$D$11:$D$70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 vs principal</a:t>
            </a:r>
          </a:p>
        </rich>
      </tx>
    </title>
    <plotArea>
      <lineChart>
        <grouping val="standard"/>
        <ser>
          <idx val="0"/>
          <order val="0"/>
          <tx>
            <strRef>
              <f>'3-4 The Loan'!C10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'3-4 The Loan'!$C$11:$C$70</f>
            </numRef>
          </val>
        </ser>
        <ser>
          <idx val="1"/>
          <order val="1"/>
          <tx>
            <strRef>
              <f>'3-4 The Loan'!D10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'3-4 The Loan'!$D$11:$D$70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18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Cornerstone II Practice — Interest, Both Directions</t>
        </is>
      </c>
    </row>
    <row r="3" ht="26" customHeight="1">
      <c r="A3" s="2" t="inlineStr">
        <is>
          <t>What this is</t>
        </is>
      </c>
      <c r="B3" s="3" t="inlineStr">
        <is>
          <t>Five drills. Do them in order — each one sets up the next. Nothing here is graded; this is where you make your mistakes cheaply, before the cornerstone counts.</t>
        </is>
      </c>
    </row>
    <row r="4" ht="39" customHeight="1">
      <c r="A4" s="2" t="inlineStr">
        <is>
          <t>Why savings first</t>
        </is>
      </c>
      <c r="B4" s="3" t="inlineStr">
        <is>
          <t>Compound interest is one machine. Pointed at your savings it makes you money; pointed at a loan it costs you money. Same formula, opposite sign. Meet it as a friend first — the amortisation table stops being frightening once you have already built the growth curve.</t>
        </is>
      </c>
    </row>
    <row r="5" ht="39" customHeight="1">
      <c r="A5" s="2" t="inlineStr">
        <is>
          <t>The one rule</t>
        </is>
      </c>
      <c r="B5" s="3" t="inlineStr">
        <is>
          <t>Every number that could be computed MUST be computed. If you type a result into a cell, you have drawn a picture of a model instead of building one. Change an input; if nothing moves, it is broken.</t>
        </is>
      </c>
    </row>
    <row r="6" ht="26" customHeight="1">
      <c r="A6" s="2" t="inlineStr">
        <is>
          <t>When you are done</t>
        </is>
      </c>
      <c r="B6" s="3" t="inlineStr">
        <is>
          <t>You should be able to answer: why does a longer loan with a smaller monthly payment cost more?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46" customWidth="1" min="6" max="6"/>
  </cols>
  <sheetData>
    <row r="1">
      <c r="A1" s="1" t="inlineStr">
        <is>
          <t>Drills 1 &amp; 2 — Interest working FOR you</t>
        </is>
      </c>
    </row>
    <row r="2">
      <c r="A2" s="4" t="inlineStr">
        <is>
          <t>A high-yield savings account. Build the growth table, then change the compounding.</t>
        </is>
      </c>
    </row>
    <row r="4">
      <c r="A4" s="5" t="inlineStr">
        <is>
          <t>INPUTS — change these, everything else must follow</t>
        </is>
      </c>
    </row>
    <row r="5">
      <c r="A5" s="2" t="inlineStr">
        <is>
          <t>Starting balance</t>
        </is>
      </c>
      <c r="B5" s="6" t="n">
        <v>500</v>
      </c>
    </row>
    <row r="6">
      <c r="A6" s="2" t="inlineStr">
        <is>
          <t>Annual rate (APY)</t>
        </is>
      </c>
      <c r="B6" s="7" t="n">
        <v>0.045</v>
      </c>
    </row>
    <row r="7">
      <c r="A7" s="2" t="inlineStr">
        <is>
          <t>Compounds per year</t>
        </is>
      </c>
      <c r="B7" s="8" t="n">
        <v>12</v>
      </c>
    </row>
    <row r="8">
      <c r="A8" s="2" t="inlineStr">
        <is>
          <t>Years</t>
        </is>
      </c>
      <c r="B8" s="8" t="n">
        <v>5</v>
      </c>
    </row>
    <row r="10">
      <c r="A10" s="9" t="inlineStr">
        <is>
          <t>Period</t>
        </is>
      </c>
      <c r="B10" s="9" t="inlineStr">
        <is>
          <t>Balance start</t>
        </is>
      </c>
      <c r="C10" s="9" t="inlineStr">
        <is>
          <t>Interest earned</t>
        </is>
      </c>
      <c r="D10" s="9" t="inlineStr">
        <is>
          <t>Balance end</t>
        </is>
      </c>
      <c r="F10" s="3" t="inlineStr">
        <is>
          <t>Drill 1: this table is built for you — read every formula and say out loud what it does.</t>
        </is>
      </c>
    </row>
    <row r="11">
      <c r="A11" t="n">
        <v>1</v>
      </c>
      <c r="B11" s="10">
        <f>$B$5</f>
        <v/>
      </c>
      <c r="C11" s="10">
        <f>B11*$B$6/$B$7</f>
        <v/>
      </c>
      <c r="D11" s="10">
        <f>B11+C11</f>
        <v/>
      </c>
    </row>
    <row r="12">
      <c r="A12" t="n">
        <v>2</v>
      </c>
      <c r="B12" s="10">
        <f>D11</f>
        <v/>
      </c>
      <c r="C12" s="10">
        <f>B12*$B$6/$B$7</f>
        <v/>
      </c>
      <c r="D12" s="10">
        <f>B12+C12</f>
        <v/>
      </c>
      <c r="F12" s="3" t="inlineStr">
        <is>
          <t>Drill 2: change 'Compounds per year' from 12 to 365. Write one sentence below explaining why the ending balance barely moves.</t>
        </is>
      </c>
    </row>
    <row r="13">
      <c r="A13" t="n">
        <v>3</v>
      </c>
      <c r="B13" s="10">
        <f>D12</f>
        <v/>
      </c>
      <c r="C13" s="10">
        <f>B13*$B$6/$B$7</f>
        <v/>
      </c>
      <c r="D13" s="10">
        <f>B13+C13</f>
        <v/>
      </c>
    </row>
    <row r="14">
      <c r="A14" t="n">
        <v>4</v>
      </c>
      <c r="B14" s="10">
        <f>D13</f>
        <v/>
      </c>
      <c r="C14" s="10">
        <f>B14*$B$6/$B$7</f>
        <v/>
      </c>
      <c r="D14" s="10">
        <f>B14+C14</f>
        <v/>
      </c>
    </row>
    <row r="15">
      <c r="A15" t="n">
        <v>5</v>
      </c>
      <c r="B15" s="10">
        <f>D14</f>
        <v/>
      </c>
      <c r="C15" s="10">
        <f>B15*$B$6/$B$7</f>
        <v/>
      </c>
      <c r="D15" s="10">
        <f>B15+C15</f>
        <v/>
      </c>
      <c r="F15" s="2" t="inlineStr">
        <is>
          <t>Your sentence:</t>
        </is>
      </c>
    </row>
    <row r="16">
      <c r="A16" t="n">
        <v>6</v>
      </c>
      <c r="B16" s="10">
        <f>D15</f>
        <v/>
      </c>
      <c r="C16" s="10">
        <f>B16*$B$6/$B$7</f>
        <v/>
      </c>
      <c r="D16" s="10">
        <f>B16+C16</f>
        <v/>
      </c>
      <c r="F16" s="11" t="inlineStr"/>
    </row>
    <row r="17">
      <c r="A17" t="n">
        <v>7</v>
      </c>
      <c r="B17" s="10">
        <f>D16</f>
        <v/>
      </c>
      <c r="C17" s="10">
        <f>B17*$B$6/$B$7</f>
        <v/>
      </c>
      <c r="D17" s="10">
        <f>B17+C17</f>
        <v/>
      </c>
    </row>
    <row r="18">
      <c r="A18" t="n">
        <v>8</v>
      </c>
      <c r="B18" s="10">
        <f>D17</f>
        <v/>
      </c>
      <c r="C18" s="10">
        <f>B18*$B$6/$B$7</f>
        <v/>
      </c>
      <c r="D18" s="10">
        <f>B18+C18</f>
        <v/>
      </c>
    </row>
    <row r="19">
      <c r="A19" t="n">
        <v>9</v>
      </c>
      <c r="B19" s="10">
        <f>D18</f>
        <v/>
      </c>
      <c r="C19" s="10">
        <f>B19*$B$6/$B$7</f>
        <v/>
      </c>
      <c r="D19" s="10">
        <f>B19+C19</f>
        <v/>
      </c>
    </row>
    <row r="20">
      <c r="A20" t="n">
        <v>10</v>
      </c>
      <c r="B20" s="10">
        <f>D19</f>
        <v/>
      </c>
      <c r="C20" s="10">
        <f>B20*$B$6/$B$7</f>
        <v/>
      </c>
      <c r="D20" s="10">
        <f>B20+C20</f>
        <v/>
      </c>
    </row>
    <row r="21">
      <c r="A21" t="n">
        <v>11</v>
      </c>
      <c r="B21" s="10">
        <f>D20</f>
        <v/>
      </c>
      <c r="C21" s="10">
        <f>B21*$B$6/$B$7</f>
        <v/>
      </c>
      <c r="D21" s="10">
        <f>B21+C21</f>
        <v/>
      </c>
    </row>
    <row r="22">
      <c r="A22" t="n">
        <v>12</v>
      </c>
      <c r="B22" s="10">
        <f>D21</f>
        <v/>
      </c>
      <c r="C22" s="10">
        <f>B22*$B$6/$B$7</f>
        <v/>
      </c>
      <c r="D22" s="10">
        <f>B22+C22</f>
        <v/>
      </c>
    </row>
    <row r="23">
      <c r="A23" t="n">
        <v>13</v>
      </c>
      <c r="B23" s="10">
        <f>D22</f>
        <v/>
      </c>
      <c r="C23" s="10">
        <f>B23*$B$6/$B$7</f>
        <v/>
      </c>
      <c r="D23" s="10">
        <f>B23+C23</f>
        <v/>
      </c>
    </row>
    <row r="24">
      <c r="A24" t="n">
        <v>14</v>
      </c>
      <c r="B24" s="10">
        <f>D23</f>
        <v/>
      </c>
      <c r="C24" s="10">
        <f>B24*$B$6/$B$7</f>
        <v/>
      </c>
      <c r="D24" s="10">
        <f>B24+C24</f>
        <v/>
      </c>
    </row>
    <row r="25">
      <c r="A25" t="n">
        <v>15</v>
      </c>
      <c r="B25" s="10">
        <f>D24</f>
        <v/>
      </c>
      <c r="C25" s="10">
        <f>B25*$B$6/$B$7</f>
        <v/>
      </c>
      <c r="D25" s="10">
        <f>B25+C25</f>
        <v/>
      </c>
    </row>
    <row r="26">
      <c r="A26" t="n">
        <v>16</v>
      </c>
      <c r="B26" s="10">
        <f>D25</f>
        <v/>
      </c>
      <c r="C26" s="10">
        <f>B26*$B$6/$B$7</f>
        <v/>
      </c>
      <c r="D26" s="10">
        <f>B26+C26</f>
        <v/>
      </c>
    </row>
    <row r="27">
      <c r="A27" t="n">
        <v>17</v>
      </c>
      <c r="B27" s="10">
        <f>D26</f>
        <v/>
      </c>
      <c r="C27" s="10">
        <f>B27*$B$6/$B$7</f>
        <v/>
      </c>
      <c r="D27" s="10">
        <f>B27+C27</f>
        <v/>
      </c>
    </row>
    <row r="28">
      <c r="A28" t="n">
        <v>18</v>
      </c>
      <c r="B28" s="10">
        <f>D27</f>
        <v/>
      </c>
      <c r="C28" s="10">
        <f>B28*$B$6/$B$7</f>
        <v/>
      </c>
      <c r="D28" s="10">
        <f>B28+C28</f>
        <v/>
      </c>
    </row>
    <row r="29">
      <c r="A29" t="n">
        <v>19</v>
      </c>
      <c r="B29" s="10">
        <f>D28</f>
        <v/>
      </c>
      <c r="C29" s="10">
        <f>B29*$B$6/$B$7</f>
        <v/>
      </c>
      <c r="D29" s="10">
        <f>B29+C29</f>
        <v/>
      </c>
    </row>
    <row r="30">
      <c r="A30" t="n">
        <v>20</v>
      </c>
      <c r="B30" s="10">
        <f>D29</f>
        <v/>
      </c>
      <c r="C30" s="10">
        <f>B30*$B$6/$B$7</f>
        <v/>
      </c>
      <c r="D30" s="10">
        <f>B30+C30</f>
        <v/>
      </c>
    </row>
    <row r="31">
      <c r="A31" t="n">
        <v>21</v>
      </c>
      <c r="B31" s="10">
        <f>D30</f>
        <v/>
      </c>
      <c r="C31" s="10">
        <f>B31*$B$6/$B$7</f>
        <v/>
      </c>
      <c r="D31" s="10">
        <f>B31+C31</f>
        <v/>
      </c>
    </row>
    <row r="32">
      <c r="A32" t="n">
        <v>22</v>
      </c>
      <c r="B32" s="10">
        <f>D31</f>
        <v/>
      </c>
      <c r="C32" s="10">
        <f>B32*$B$6/$B$7</f>
        <v/>
      </c>
      <c r="D32" s="10">
        <f>B32+C32</f>
        <v/>
      </c>
    </row>
    <row r="33">
      <c r="A33" t="n">
        <v>23</v>
      </c>
      <c r="B33" s="10">
        <f>D32</f>
        <v/>
      </c>
      <c r="C33" s="10">
        <f>B33*$B$6/$B$7</f>
        <v/>
      </c>
      <c r="D33" s="10">
        <f>B33+C33</f>
        <v/>
      </c>
    </row>
    <row r="34">
      <c r="A34" t="n">
        <v>24</v>
      </c>
      <c r="B34" s="10">
        <f>D33</f>
        <v/>
      </c>
      <c r="C34" s="10">
        <f>B34*$B$6/$B$7</f>
        <v/>
      </c>
      <c r="D34" s="10">
        <f>B34+C34</f>
        <v/>
      </c>
    </row>
    <row r="35">
      <c r="A35" t="n">
        <v>25</v>
      </c>
      <c r="B35" s="10">
        <f>D34</f>
        <v/>
      </c>
      <c r="C35" s="10">
        <f>B35*$B$6/$B$7</f>
        <v/>
      </c>
      <c r="D35" s="10">
        <f>B35+C35</f>
        <v/>
      </c>
    </row>
    <row r="36">
      <c r="A36" t="n">
        <v>26</v>
      </c>
      <c r="B36" s="10">
        <f>D35</f>
        <v/>
      </c>
      <c r="C36" s="10">
        <f>B36*$B$6/$B$7</f>
        <v/>
      </c>
      <c r="D36" s="10">
        <f>B36+C36</f>
        <v/>
      </c>
    </row>
    <row r="37">
      <c r="A37" t="n">
        <v>27</v>
      </c>
      <c r="B37" s="10">
        <f>D36</f>
        <v/>
      </c>
      <c r="C37" s="10">
        <f>B37*$B$6/$B$7</f>
        <v/>
      </c>
      <c r="D37" s="10">
        <f>B37+C37</f>
        <v/>
      </c>
    </row>
    <row r="38">
      <c r="A38" t="n">
        <v>28</v>
      </c>
      <c r="B38" s="10">
        <f>D37</f>
        <v/>
      </c>
      <c r="C38" s="10">
        <f>B38*$B$6/$B$7</f>
        <v/>
      </c>
      <c r="D38" s="10">
        <f>B38+C38</f>
        <v/>
      </c>
    </row>
    <row r="39">
      <c r="A39" t="n">
        <v>29</v>
      </c>
      <c r="B39" s="10">
        <f>D38</f>
        <v/>
      </c>
      <c r="C39" s="10">
        <f>B39*$B$6/$B$7</f>
        <v/>
      </c>
      <c r="D39" s="10">
        <f>B39+C39</f>
        <v/>
      </c>
    </row>
    <row r="40">
      <c r="A40" t="n">
        <v>30</v>
      </c>
      <c r="B40" s="10">
        <f>D39</f>
        <v/>
      </c>
      <c r="C40" s="10">
        <f>B40*$B$6/$B$7</f>
        <v/>
      </c>
      <c r="D40" s="10">
        <f>B40+C40</f>
        <v/>
      </c>
    </row>
    <row r="41">
      <c r="A41" t="n">
        <v>31</v>
      </c>
      <c r="B41" s="10">
        <f>D40</f>
        <v/>
      </c>
      <c r="C41" s="10">
        <f>B41*$B$6/$B$7</f>
        <v/>
      </c>
      <c r="D41" s="10">
        <f>B41+C41</f>
        <v/>
      </c>
    </row>
    <row r="42">
      <c r="A42" t="n">
        <v>32</v>
      </c>
      <c r="B42" s="10">
        <f>D41</f>
        <v/>
      </c>
      <c r="C42" s="10">
        <f>B42*$B$6/$B$7</f>
        <v/>
      </c>
      <c r="D42" s="10">
        <f>B42+C42</f>
        <v/>
      </c>
    </row>
    <row r="43">
      <c r="A43" t="n">
        <v>33</v>
      </c>
      <c r="B43" s="10">
        <f>D42</f>
        <v/>
      </c>
      <c r="C43" s="10">
        <f>B43*$B$6/$B$7</f>
        <v/>
      </c>
      <c r="D43" s="10">
        <f>B43+C43</f>
        <v/>
      </c>
    </row>
    <row r="44">
      <c r="A44" t="n">
        <v>34</v>
      </c>
      <c r="B44" s="10">
        <f>D43</f>
        <v/>
      </c>
      <c r="C44" s="10">
        <f>B44*$B$6/$B$7</f>
        <v/>
      </c>
      <c r="D44" s="10">
        <f>B44+C44</f>
        <v/>
      </c>
    </row>
    <row r="45">
      <c r="A45" t="n">
        <v>35</v>
      </c>
      <c r="B45" s="10">
        <f>D44</f>
        <v/>
      </c>
      <c r="C45" s="10">
        <f>B45*$B$6/$B$7</f>
        <v/>
      </c>
      <c r="D45" s="10">
        <f>B45+C45</f>
        <v/>
      </c>
    </row>
    <row r="46">
      <c r="A46" t="n">
        <v>36</v>
      </c>
      <c r="B46" s="10">
        <f>D45</f>
        <v/>
      </c>
      <c r="C46" s="10">
        <f>B46*$B$6/$B$7</f>
        <v/>
      </c>
      <c r="D46" s="10">
        <f>B46+C46</f>
        <v/>
      </c>
    </row>
    <row r="47">
      <c r="A47" t="n">
        <v>37</v>
      </c>
      <c r="B47" s="10">
        <f>D46</f>
        <v/>
      </c>
      <c r="C47" s="10">
        <f>B47*$B$6/$B$7</f>
        <v/>
      </c>
      <c r="D47" s="10">
        <f>B47+C47</f>
        <v/>
      </c>
    </row>
    <row r="48">
      <c r="A48" t="n">
        <v>38</v>
      </c>
      <c r="B48" s="10">
        <f>D47</f>
        <v/>
      </c>
      <c r="C48" s="10">
        <f>B48*$B$6/$B$7</f>
        <v/>
      </c>
      <c r="D48" s="10">
        <f>B48+C48</f>
        <v/>
      </c>
    </row>
    <row r="49">
      <c r="A49" t="n">
        <v>39</v>
      </c>
      <c r="B49" s="10">
        <f>D48</f>
        <v/>
      </c>
      <c r="C49" s="10">
        <f>B49*$B$6/$B$7</f>
        <v/>
      </c>
      <c r="D49" s="10">
        <f>B49+C49</f>
        <v/>
      </c>
    </row>
    <row r="50">
      <c r="A50" t="n">
        <v>40</v>
      </c>
      <c r="B50" s="10">
        <f>D49</f>
        <v/>
      </c>
      <c r="C50" s="10">
        <f>B50*$B$6/$B$7</f>
        <v/>
      </c>
      <c r="D50" s="10">
        <f>B50+C50</f>
        <v/>
      </c>
    </row>
    <row r="51">
      <c r="A51" t="n">
        <v>41</v>
      </c>
      <c r="B51" s="10">
        <f>D50</f>
        <v/>
      </c>
      <c r="C51" s="10">
        <f>B51*$B$6/$B$7</f>
        <v/>
      </c>
      <c r="D51" s="10">
        <f>B51+C51</f>
        <v/>
      </c>
    </row>
    <row r="52">
      <c r="A52" t="n">
        <v>42</v>
      </c>
      <c r="B52" s="10">
        <f>D51</f>
        <v/>
      </c>
      <c r="C52" s="10">
        <f>B52*$B$6/$B$7</f>
        <v/>
      </c>
      <c r="D52" s="10">
        <f>B52+C52</f>
        <v/>
      </c>
    </row>
    <row r="53">
      <c r="A53" t="n">
        <v>43</v>
      </c>
      <c r="B53" s="10">
        <f>D52</f>
        <v/>
      </c>
      <c r="C53" s="10">
        <f>B53*$B$6/$B$7</f>
        <v/>
      </c>
      <c r="D53" s="10">
        <f>B53+C53</f>
        <v/>
      </c>
    </row>
    <row r="54">
      <c r="A54" t="n">
        <v>44</v>
      </c>
      <c r="B54" s="10">
        <f>D53</f>
        <v/>
      </c>
      <c r="C54" s="10">
        <f>B54*$B$6/$B$7</f>
        <v/>
      </c>
      <c r="D54" s="10">
        <f>B54+C54</f>
        <v/>
      </c>
    </row>
    <row r="55">
      <c r="A55" t="n">
        <v>45</v>
      </c>
      <c r="B55" s="10">
        <f>D54</f>
        <v/>
      </c>
      <c r="C55" s="10">
        <f>B55*$B$6/$B$7</f>
        <v/>
      </c>
      <c r="D55" s="10">
        <f>B55+C55</f>
        <v/>
      </c>
    </row>
    <row r="56">
      <c r="A56" t="n">
        <v>46</v>
      </c>
      <c r="B56" s="10">
        <f>D55</f>
        <v/>
      </c>
      <c r="C56" s="10">
        <f>B56*$B$6/$B$7</f>
        <v/>
      </c>
      <c r="D56" s="10">
        <f>B56+C56</f>
        <v/>
      </c>
    </row>
    <row r="57">
      <c r="A57" t="n">
        <v>47</v>
      </c>
      <c r="B57" s="10">
        <f>D56</f>
        <v/>
      </c>
      <c r="C57" s="10">
        <f>B57*$B$6/$B$7</f>
        <v/>
      </c>
      <c r="D57" s="10">
        <f>B57+C57</f>
        <v/>
      </c>
    </row>
    <row r="58">
      <c r="A58" t="n">
        <v>48</v>
      </c>
      <c r="B58" s="10">
        <f>D57</f>
        <v/>
      </c>
      <c r="C58" s="10">
        <f>B58*$B$6/$B$7</f>
        <v/>
      </c>
      <c r="D58" s="10">
        <f>B58+C58</f>
        <v/>
      </c>
    </row>
    <row r="59">
      <c r="A59" t="n">
        <v>49</v>
      </c>
      <c r="B59" s="10">
        <f>D58</f>
        <v/>
      </c>
      <c r="C59" s="10">
        <f>B59*$B$6/$B$7</f>
        <v/>
      </c>
      <c r="D59" s="10">
        <f>B59+C59</f>
        <v/>
      </c>
    </row>
    <row r="60">
      <c r="A60" t="n">
        <v>50</v>
      </c>
      <c r="B60" s="10">
        <f>D59</f>
        <v/>
      </c>
      <c r="C60" s="10">
        <f>B60*$B$6/$B$7</f>
        <v/>
      </c>
      <c r="D60" s="10">
        <f>B60+C60</f>
        <v/>
      </c>
    </row>
    <row r="61">
      <c r="A61" t="n">
        <v>51</v>
      </c>
      <c r="B61" s="10">
        <f>D60</f>
        <v/>
      </c>
      <c r="C61" s="10">
        <f>B61*$B$6/$B$7</f>
        <v/>
      </c>
      <c r="D61" s="10">
        <f>B61+C61</f>
        <v/>
      </c>
    </row>
    <row r="62">
      <c r="A62" t="n">
        <v>52</v>
      </c>
      <c r="B62" s="10">
        <f>D61</f>
        <v/>
      </c>
      <c r="C62" s="10">
        <f>B62*$B$6/$B$7</f>
        <v/>
      </c>
      <c r="D62" s="10">
        <f>B62+C62</f>
        <v/>
      </c>
    </row>
    <row r="63">
      <c r="A63" t="n">
        <v>53</v>
      </c>
      <c r="B63" s="10">
        <f>D62</f>
        <v/>
      </c>
      <c r="C63" s="10">
        <f>B63*$B$6/$B$7</f>
        <v/>
      </c>
      <c r="D63" s="10">
        <f>B63+C63</f>
        <v/>
      </c>
    </row>
    <row r="64">
      <c r="A64" t="n">
        <v>54</v>
      </c>
      <c r="B64" s="10">
        <f>D63</f>
        <v/>
      </c>
      <c r="C64" s="10">
        <f>B64*$B$6/$B$7</f>
        <v/>
      </c>
      <c r="D64" s="10">
        <f>B64+C64</f>
        <v/>
      </c>
    </row>
    <row r="65">
      <c r="A65" t="n">
        <v>55</v>
      </c>
      <c r="B65" s="10">
        <f>D64</f>
        <v/>
      </c>
      <c r="C65" s="10">
        <f>B65*$B$6/$B$7</f>
        <v/>
      </c>
      <c r="D65" s="10">
        <f>B65+C65</f>
        <v/>
      </c>
    </row>
    <row r="66">
      <c r="A66" t="n">
        <v>56</v>
      </c>
      <c r="B66" s="10">
        <f>D65</f>
        <v/>
      </c>
      <c r="C66" s="10">
        <f>B66*$B$6/$B$7</f>
        <v/>
      </c>
      <c r="D66" s="10">
        <f>B66+C66</f>
        <v/>
      </c>
    </row>
    <row r="67">
      <c r="A67" t="n">
        <v>57</v>
      </c>
      <c r="B67" s="10">
        <f>D66</f>
        <v/>
      </c>
      <c r="C67" s="10">
        <f>B67*$B$6/$B$7</f>
        <v/>
      </c>
      <c r="D67" s="10">
        <f>B67+C67</f>
        <v/>
      </c>
    </row>
    <row r="68">
      <c r="A68" t="n">
        <v>58</v>
      </c>
      <c r="B68" s="10">
        <f>D67</f>
        <v/>
      </c>
      <c r="C68" s="10">
        <f>B68*$B$6/$B$7</f>
        <v/>
      </c>
      <c r="D68" s="10">
        <f>B68+C68</f>
        <v/>
      </c>
    </row>
    <row r="69">
      <c r="A69" t="n">
        <v>59</v>
      </c>
      <c r="B69" s="10">
        <f>D68</f>
        <v/>
      </c>
      <c r="C69" s="10">
        <f>B69*$B$6/$B$7</f>
        <v/>
      </c>
      <c r="D69" s="10">
        <f>B69+C69</f>
        <v/>
      </c>
    </row>
    <row r="70">
      <c r="A70" t="n">
        <v>60</v>
      </c>
      <c r="B70" s="10">
        <f>D69</f>
        <v/>
      </c>
      <c r="C70" s="10">
        <f>B70*$B$6/$B$7</f>
        <v/>
      </c>
      <c r="D70" s="10">
        <f>B70+C70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46" customWidth="1" min="6" max="6"/>
  </cols>
  <sheetData>
    <row r="1">
      <c r="A1" s="1" t="inlineStr">
        <is>
          <t>Drills 3 &amp; 4 — The same machine, pointed at you</t>
        </is>
      </c>
    </row>
    <row r="2">
      <c r="A2" s="4" t="inlineStr">
        <is>
          <t>Now you are the one paying. Build the payment, then split it.</t>
        </is>
      </c>
    </row>
    <row r="4">
      <c r="A4" s="5" t="inlineStr">
        <is>
          <t>INPUTS</t>
        </is>
      </c>
    </row>
    <row r="5">
      <c r="A5" s="2" t="inlineStr">
        <is>
          <t>Amount financed</t>
        </is>
      </c>
      <c r="B5" s="6" t="n">
        <v>12000</v>
      </c>
    </row>
    <row r="6">
      <c r="A6" s="2" t="inlineStr">
        <is>
          <t>Annual rate (APR)</t>
        </is>
      </c>
      <c r="B6" s="7" t="n">
        <v>0.07000000000000001</v>
      </c>
    </row>
    <row r="7">
      <c r="A7" s="2" t="inlineStr">
        <is>
          <t>Term (months)</t>
        </is>
      </c>
      <c r="B7" s="8" t="n">
        <v>60</v>
      </c>
    </row>
    <row r="8">
      <c r="A8" s="2" t="inlineStr">
        <is>
          <t>Monthly payment</t>
        </is>
      </c>
      <c r="B8" s="10">
        <f>PMT($B$6/12,$B$7,-$B$5)</f>
        <v/>
      </c>
      <c r="F8" s="3" t="inlineStr">
        <is>
          <t>Drill 3: PMT does the work. Look it up — what do the three arguments mean? Why is the amount negative?</t>
        </is>
      </c>
    </row>
    <row r="10">
      <c r="A10" s="9" t="inlineStr">
        <is>
          <t>Month</t>
        </is>
      </c>
      <c r="B10" s="9" t="inlineStr">
        <is>
          <t>Payment</t>
        </is>
      </c>
      <c r="C10" s="9" t="inlineStr">
        <is>
          <t>Interest</t>
        </is>
      </c>
      <c r="D10" s="9" t="inlineStr">
        <is>
          <t>Principal</t>
        </is>
      </c>
      <c r="E10" s="9" t="inlineStr">
        <is>
          <t>Balance</t>
        </is>
      </c>
    </row>
    <row r="11">
      <c r="A11" t="n">
        <v>1</v>
      </c>
      <c r="B11" s="10">
        <f>$B$8</f>
        <v/>
      </c>
      <c r="C11" s="10">
        <f>$B$5*$B$6/12</f>
        <v/>
      </c>
      <c r="D11" s="10">
        <f>B11-C11</f>
        <v/>
      </c>
      <c r="E11" s="10">
        <f>$B$5-D11</f>
        <v/>
      </c>
    </row>
    <row r="12">
      <c r="A12" t="n">
        <v>2</v>
      </c>
      <c r="B12" s="10">
        <f>$B$8</f>
        <v/>
      </c>
      <c r="C12" s="10">
        <f>E11*$B$6/12</f>
        <v/>
      </c>
      <c r="D12" s="10">
        <f>B12-C12</f>
        <v/>
      </c>
      <c r="E12" s="10">
        <f>E11-D12</f>
        <v/>
      </c>
    </row>
    <row r="13">
      <c r="A13" t="n">
        <v>3</v>
      </c>
      <c r="B13" s="10">
        <f>$B$8</f>
        <v/>
      </c>
      <c r="C13" s="10">
        <f>E12*$B$6/12</f>
        <v/>
      </c>
      <c r="D13" s="10">
        <f>B13-C13</f>
        <v/>
      </c>
      <c r="E13" s="10">
        <f>E12-D13</f>
        <v/>
      </c>
      <c r="G13" s="3" t="inlineStr">
        <is>
          <t>Drill 4: chart Interest and Principal together. Find the month they cross. Explain what the crossover means for someone paying this loan.</t>
        </is>
      </c>
    </row>
    <row r="14">
      <c r="A14" t="n">
        <v>4</v>
      </c>
      <c r="B14" s="10">
        <f>$B$8</f>
        <v/>
      </c>
      <c r="C14" s="10">
        <f>E13*$B$6/12</f>
        <v/>
      </c>
      <c r="D14" s="10">
        <f>B14-C14</f>
        <v/>
      </c>
      <c r="E14" s="10">
        <f>E13-D14</f>
        <v/>
      </c>
    </row>
    <row r="15">
      <c r="A15" t="n">
        <v>5</v>
      </c>
      <c r="B15" s="10">
        <f>$B$8</f>
        <v/>
      </c>
      <c r="C15" s="10">
        <f>E14*$B$6/12</f>
        <v/>
      </c>
      <c r="D15" s="10">
        <f>B15-C15</f>
        <v/>
      </c>
      <c r="E15" s="10">
        <f>E14-D15</f>
        <v/>
      </c>
    </row>
    <row r="16">
      <c r="A16" t="n">
        <v>6</v>
      </c>
      <c r="B16" s="10">
        <f>$B$8</f>
        <v/>
      </c>
      <c r="C16" s="10">
        <f>E15*$B$6/12</f>
        <v/>
      </c>
      <c r="D16" s="10">
        <f>B16-C16</f>
        <v/>
      </c>
      <c r="E16" s="10">
        <f>E15-D16</f>
        <v/>
      </c>
    </row>
    <row r="17">
      <c r="A17" t="n">
        <v>7</v>
      </c>
      <c r="B17" s="10">
        <f>$B$8</f>
        <v/>
      </c>
      <c r="C17" s="10">
        <f>E16*$B$6/12</f>
        <v/>
      </c>
      <c r="D17" s="10">
        <f>B17-C17</f>
        <v/>
      </c>
      <c r="E17" s="10">
        <f>E16-D17</f>
        <v/>
      </c>
    </row>
    <row r="18">
      <c r="A18" t="n">
        <v>8</v>
      </c>
      <c r="B18" s="10">
        <f>$B$8</f>
        <v/>
      </c>
      <c r="C18" s="10">
        <f>E17*$B$6/12</f>
        <v/>
      </c>
      <c r="D18" s="10">
        <f>B18-C18</f>
        <v/>
      </c>
      <c r="E18" s="10">
        <f>E17-D18</f>
        <v/>
      </c>
    </row>
    <row r="19">
      <c r="A19" t="n">
        <v>9</v>
      </c>
      <c r="B19" s="10">
        <f>$B$8</f>
        <v/>
      </c>
      <c r="C19" s="10">
        <f>E18*$B$6/12</f>
        <v/>
      </c>
      <c r="D19" s="10">
        <f>B19-C19</f>
        <v/>
      </c>
      <c r="E19" s="10">
        <f>E18-D19</f>
        <v/>
      </c>
    </row>
    <row r="20">
      <c r="A20" t="n">
        <v>10</v>
      </c>
      <c r="B20" s="10">
        <f>$B$8</f>
        <v/>
      </c>
      <c r="C20" s="10">
        <f>E19*$B$6/12</f>
        <v/>
      </c>
      <c r="D20" s="10">
        <f>B20-C20</f>
        <v/>
      </c>
      <c r="E20" s="10">
        <f>E19-D20</f>
        <v/>
      </c>
    </row>
    <row r="21">
      <c r="A21" t="n">
        <v>11</v>
      </c>
      <c r="B21" s="10">
        <f>$B$8</f>
        <v/>
      </c>
      <c r="C21" s="10">
        <f>E20*$B$6/12</f>
        <v/>
      </c>
      <c r="D21" s="10">
        <f>B21-C21</f>
        <v/>
      </c>
      <c r="E21" s="10">
        <f>E20-D21</f>
        <v/>
      </c>
    </row>
    <row r="22">
      <c r="A22" t="n">
        <v>12</v>
      </c>
      <c r="B22" s="10">
        <f>$B$8</f>
        <v/>
      </c>
      <c r="C22" s="10">
        <f>E21*$B$6/12</f>
        <v/>
      </c>
      <c r="D22" s="10">
        <f>B22-C22</f>
        <v/>
      </c>
      <c r="E22" s="10">
        <f>E21-D22</f>
        <v/>
      </c>
    </row>
    <row r="23">
      <c r="A23" t="n">
        <v>13</v>
      </c>
      <c r="B23" s="10">
        <f>$B$8</f>
        <v/>
      </c>
      <c r="C23" s="10">
        <f>E22*$B$6/12</f>
        <v/>
      </c>
      <c r="D23" s="10">
        <f>B23-C23</f>
        <v/>
      </c>
      <c r="E23" s="10">
        <f>E22-D23</f>
        <v/>
      </c>
    </row>
    <row r="24">
      <c r="A24" t="n">
        <v>14</v>
      </c>
      <c r="B24" s="10">
        <f>$B$8</f>
        <v/>
      </c>
      <c r="C24" s="10">
        <f>E23*$B$6/12</f>
        <v/>
      </c>
      <c r="D24" s="10">
        <f>B24-C24</f>
        <v/>
      </c>
      <c r="E24" s="10">
        <f>E23-D24</f>
        <v/>
      </c>
    </row>
    <row r="25">
      <c r="A25" t="n">
        <v>15</v>
      </c>
      <c r="B25" s="10">
        <f>$B$8</f>
        <v/>
      </c>
      <c r="C25" s="10">
        <f>E24*$B$6/12</f>
        <v/>
      </c>
      <c r="D25" s="10">
        <f>B25-C25</f>
        <v/>
      </c>
      <c r="E25" s="10">
        <f>E24-D25</f>
        <v/>
      </c>
    </row>
    <row r="26">
      <c r="A26" t="n">
        <v>16</v>
      </c>
      <c r="B26" s="10">
        <f>$B$8</f>
        <v/>
      </c>
      <c r="C26" s="10">
        <f>E25*$B$6/12</f>
        <v/>
      </c>
      <c r="D26" s="10">
        <f>B26-C26</f>
        <v/>
      </c>
      <c r="E26" s="10">
        <f>E25-D26</f>
        <v/>
      </c>
    </row>
    <row r="27">
      <c r="A27" t="n">
        <v>17</v>
      </c>
      <c r="B27" s="10">
        <f>$B$8</f>
        <v/>
      </c>
      <c r="C27" s="10">
        <f>E26*$B$6/12</f>
        <v/>
      </c>
      <c r="D27" s="10">
        <f>B27-C27</f>
        <v/>
      </c>
      <c r="E27" s="10">
        <f>E26-D27</f>
        <v/>
      </c>
    </row>
    <row r="28">
      <c r="A28" t="n">
        <v>18</v>
      </c>
      <c r="B28" s="10">
        <f>$B$8</f>
        <v/>
      </c>
      <c r="C28" s="10">
        <f>E27*$B$6/12</f>
        <v/>
      </c>
      <c r="D28" s="10">
        <f>B28-C28</f>
        <v/>
      </c>
      <c r="E28" s="10">
        <f>E27-D28</f>
        <v/>
      </c>
    </row>
    <row r="29">
      <c r="A29" t="n">
        <v>19</v>
      </c>
      <c r="B29" s="10">
        <f>$B$8</f>
        <v/>
      </c>
      <c r="C29" s="10">
        <f>E28*$B$6/12</f>
        <v/>
      </c>
      <c r="D29" s="10">
        <f>B29-C29</f>
        <v/>
      </c>
      <c r="E29" s="10">
        <f>E28-D29</f>
        <v/>
      </c>
    </row>
    <row r="30">
      <c r="A30" t="n">
        <v>20</v>
      </c>
      <c r="B30" s="10">
        <f>$B$8</f>
        <v/>
      </c>
      <c r="C30" s="10">
        <f>E29*$B$6/12</f>
        <v/>
      </c>
      <c r="D30" s="10">
        <f>B30-C30</f>
        <v/>
      </c>
      <c r="E30" s="10">
        <f>E29-D30</f>
        <v/>
      </c>
    </row>
    <row r="31">
      <c r="A31" t="n">
        <v>21</v>
      </c>
      <c r="B31" s="10">
        <f>$B$8</f>
        <v/>
      </c>
      <c r="C31" s="10">
        <f>E30*$B$6/12</f>
        <v/>
      </c>
      <c r="D31" s="10">
        <f>B31-C31</f>
        <v/>
      </c>
      <c r="E31" s="10">
        <f>E30-D31</f>
        <v/>
      </c>
    </row>
    <row r="32">
      <c r="A32" t="n">
        <v>22</v>
      </c>
      <c r="B32" s="10">
        <f>$B$8</f>
        <v/>
      </c>
      <c r="C32" s="10">
        <f>E31*$B$6/12</f>
        <v/>
      </c>
      <c r="D32" s="10">
        <f>B32-C32</f>
        <v/>
      </c>
      <c r="E32" s="10">
        <f>E31-D32</f>
        <v/>
      </c>
    </row>
    <row r="33">
      <c r="A33" t="n">
        <v>23</v>
      </c>
      <c r="B33" s="10">
        <f>$B$8</f>
        <v/>
      </c>
      <c r="C33" s="10">
        <f>E32*$B$6/12</f>
        <v/>
      </c>
      <c r="D33" s="10">
        <f>B33-C33</f>
        <v/>
      </c>
      <c r="E33" s="10">
        <f>E32-D33</f>
        <v/>
      </c>
    </row>
    <row r="34">
      <c r="A34" t="n">
        <v>24</v>
      </c>
      <c r="B34" s="10">
        <f>$B$8</f>
        <v/>
      </c>
      <c r="C34" s="10">
        <f>E33*$B$6/12</f>
        <v/>
      </c>
      <c r="D34" s="10">
        <f>B34-C34</f>
        <v/>
      </c>
      <c r="E34" s="10">
        <f>E33-D34</f>
        <v/>
      </c>
    </row>
    <row r="35">
      <c r="A35" t="n">
        <v>25</v>
      </c>
      <c r="B35" s="10">
        <f>$B$8</f>
        <v/>
      </c>
      <c r="C35" s="10">
        <f>E34*$B$6/12</f>
        <v/>
      </c>
      <c r="D35" s="10">
        <f>B35-C35</f>
        <v/>
      </c>
      <c r="E35" s="10">
        <f>E34-D35</f>
        <v/>
      </c>
    </row>
    <row r="36">
      <c r="A36" t="n">
        <v>26</v>
      </c>
      <c r="B36" s="10">
        <f>$B$8</f>
        <v/>
      </c>
      <c r="C36" s="10">
        <f>E35*$B$6/12</f>
        <v/>
      </c>
      <c r="D36" s="10">
        <f>B36-C36</f>
        <v/>
      </c>
      <c r="E36" s="10">
        <f>E35-D36</f>
        <v/>
      </c>
    </row>
    <row r="37">
      <c r="A37" t="n">
        <v>27</v>
      </c>
      <c r="B37" s="10">
        <f>$B$8</f>
        <v/>
      </c>
      <c r="C37" s="10">
        <f>E36*$B$6/12</f>
        <v/>
      </c>
      <c r="D37" s="10">
        <f>B37-C37</f>
        <v/>
      </c>
      <c r="E37" s="10">
        <f>E36-D37</f>
        <v/>
      </c>
    </row>
    <row r="38">
      <c r="A38" t="n">
        <v>28</v>
      </c>
      <c r="B38" s="10">
        <f>$B$8</f>
        <v/>
      </c>
      <c r="C38" s="10">
        <f>E37*$B$6/12</f>
        <v/>
      </c>
      <c r="D38" s="10">
        <f>B38-C38</f>
        <v/>
      </c>
      <c r="E38" s="10">
        <f>E37-D38</f>
        <v/>
      </c>
    </row>
    <row r="39">
      <c r="A39" t="n">
        <v>29</v>
      </c>
      <c r="B39" s="10">
        <f>$B$8</f>
        <v/>
      </c>
      <c r="C39" s="10">
        <f>E38*$B$6/12</f>
        <v/>
      </c>
      <c r="D39" s="10">
        <f>B39-C39</f>
        <v/>
      </c>
      <c r="E39" s="10">
        <f>E38-D39</f>
        <v/>
      </c>
    </row>
    <row r="40">
      <c r="A40" t="n">
        <v>30</v>
      </c>
      <c r="B40" s="10">
        <f>$B$8</f>
        <v/>
      </c>
      <c r="C40" s="10">
        <f>E39*$B$6/12</f>
        <v/>
      </c>
      <c r="D40" s="10">
        <f>B40-C40</f>
        <v/>
      </c>
      <c r="E40" s="10">
        <f>E39-D40</f>
        <v/>
      </c>
    </row>
    <row r="41">
      <c r="A41" t="n">
        <v>31</v>
      </c>
      <c r="B41" s="10">
        <f>$B$8</f>
        <v/>
      </c>
      <c r="C41" s="10">
        <f>E40*$B$6/12</f>
        <v/>
      </c>
      <c r="D41" s="10">
        <f>B41-C41</f>
        <v/>
      </c>
      <c r="E41" s="10">
        <f>E40-D41</f>
        <v/>
      </c>
    </row>
    <row r="42">
      <c r="A42" t="n">
        <v>32</v>
      </c>
      <c r="B42" s="10">
        <f>$B$8</f>
        <v/>
      </c>
      <c r="C42" s="10">
        <f>E41*$B$6/12</f>
        <v/>
      </c>
      <c r="D42" s="10">
        <f>B42-C42</f>
        <v/>
      </c>
      <c r="E42" s="10">
        <f>E41-D42</f>
        <v/>
      </c>
    </row>
    <row r="43">
      <c r="A43" t="n">
        <v>33</v>
      </c>
      <c r="B43" s="10">
        <f>$B$8</f>
        <v/>
      </c>
      <c r="C43" s="10">
        <f>E42*$B$6/12</f>
        <v/>
      </c>
      <c r="D43" s="10">
        <f>B43-C43</f>
        <v/>
      </c>
      <c r="E43" s="10">
        <f>E42-D43</f>
        <v/>
      </c>
    </row>
    <row r="44">
      <c r="A44" t="n">
        <v>34</v>
      </c>
      <c r="B44" s="10">
        <f>$B$8</f>
        <v/>
      </c>
      <c r="C44" s="10">
        <f>E43*$B$6/12</f>
        <v/>
      </c>
      <c r="D44" s="10">
        <f>B44-C44</f>
        <v/>
      </c>
      <c r="E44" s="10">
        <f>E43-D44</f>
        <v/>
      </c>
    </row>
    <row r="45">
      <c r="A45" t="n">
        <v>35</v>
      </c>
      <c r="B45" s="10">
        <f>$B$8</f>
        <v/>
      </c>
      <c r="C45" s="10">
        <f>E44*$B$6/12</f>
        <v/>
      </c>
      <c r="D45" s="10">
        <f>B45-C45</f>
        <v/>
      </c>
      <c r="E45" s="10">
        <f>E44-D45</f>
        <v/>
      </c>
    </row>
    <row r="46">
      <c r="A46" t="n">
        <v>36</v>
      </c>
      <c r="B46" s="10">
        <f>$B$8</f>
        <v/>
      </c>
      <c r="C46" s="10">
        <f>E45*$B$6/12</f>
        <v/>
      </c>
      <c r="D46" s="10">
        <f>B46-C46</f>
        <v/>
      </c>
      <c r="E46" s="10">
        <f>E45-D46</f>
        <v/>
      </c>
    </row>
    <row r="47">
      <c r="A47" t="n">
        <v>37</v>
      </c>
      <c r="B47" s="10">
        <f>$B$8</f>
        <v/>
      </c>
      <c r="C47" s="10">
        <f>E46*$B$6/12</f>
        <v/>
      </c>
      <c r="D47" s="10">
        <f>B47-C47</f>
        <v/>
      </c>
      <c r="E47" s="10">
        <f>E46-D47</f>
        <v/>
      </c>
    </row>
    <row r="48">
      <c r="A48" t="n">
        <v>38</v>
      </c>
      <c r="B48" s="10">
        <f>$B$8</f>
        <v/>
      </c>
      <c r="C48" s="10">
        <f>E47*$B$6/12</f>
        <v/>
      </c>
      <c r="D48" s="10">
        <f>B48-C48</f>
        <v/>
      </c>
      <c r="E48" s="10">
        <f>E47-D48</f>
        <v/>
      </c>
    </row>
    <row r="49">
      <c r="A49" t="n">
        <v>39</v>
      </c>
      <c r="B49" s="10">
        <f>$B$8</f>
        <v/>
      </c>
      <c r="C49" s="10">
        <f>E48*$B$6/12</f>
        <v/>
      </c>
      <c r="D49" s="10">
        <f>B49-C49</f>
        <v/>
      </c>
      <c r="E49" s="10">
        <f>E48-D49</f>
        <v/>
      </c>
    </row>
    <row r="50">
      <c r="A50" t="n">
        <v>40</v>
      </c>
      <c r="B50" s="10">
        <f>$B$8</f>
        <v/>
      </c>
      <c r="C50" s="10">
        <f>E49*$B$6/12</f>
        <v/>
      </c>
      <c r="D50" s="10">
        <f>B50-C50</f>
        <v/>
      </c>
      <c r="E50" s="10">
        <f>E49-D50</f>
        <v/>
      </c>
    </row>
    <row r="51">
      <c r="A51" t="n">
        <v>41</v>
      </c>
      <c r="B51" s="10">
        <f>$B$8</f>
        <v/>
      </c>
      <c r="C51" s="10">
        <f>E50*$B$6/12</f>
        <v/>
      </c>
      <c r="D51" s="10">
        <f>B51-C51</f>
        <v/>
      </c>
      <c r="E51" s="10">
        <f>E50-D51</f>
        <v/>
      </c>
    </row>
    <row r="52">
      <c r="A52" t="n">
        <v>42</v>
      </c>
      <c r="B52" s="10">
        <f>$B$8</f>
        <v/>
      </c>
      <c r="C52" s="10">
        <f>E51*$B$6/12</f>
        <v/>
      </c>
      <c r="D52" s="10">
        <f>B52-C52</f>
        <v/>
      </c>
      <c r="E52" s="10">
        <f>E51-D52</f>
        <v/>
      </c>
    </row>
    <row r="53">
      <c r="A53" t="n">
        <v>43</v>
      </c>
      <c r="B53" s="10">
        <f>$B$8</f>
        <v/>
      </c>
      <c r="C53" s="10">
        <f>E52*$B$6/12</f>
        <v/>
      </c>
      <c r="D53" s="10">
        <f>B53-C53</f>
        <v/>
      </c>
      <c r="E53" s="10">
        <f>E52-D53</f>
        <v/>
      </c>
    </row>
    <row r="54">
      <c r="A54" t="n">
        <v>44</v>
      </c>
      <c r="B54" s="10">
        <f>$B$8</f>
        <v/>
      </c>
      <c r="C54" s="10">
        <f>E53*$B$6/12</f>
        <v/>
      </c>
      <c r="D54" s="10">
        <f>B54-C54</f>
        <v/>
      </c>
      <c r="E54" s="10">
        <f>E53-D54</f>
        <v/>
      </c>
    </row>
    <row r="55">
      <c r="A55" t="n">
        <v>45</v>
      </c>
      <c r="B55" s="10">
        <f>$B$8</f>
        <v/>
      </c>
      <c r="C55" s="10">
        <f>E54*$B$6/12</f>
        <v/>
      </c>
      <c r="D55" s="10">
        <f>B55-C55</f>
        <v/>
      </c>
      <c r="E55" s="10">
        <f>E54-D55</f>
        <v/>
      </c>
    </row>
    <row r="56">
      <c r="A56" t="n">
        <v>46</v>
      </c>
      <c r="B56" s="10">
        <f>$B$8</f>
        <v/>
      </c>
      <c r="C56" s="10">
        <f>E55*$B$6/12</f>
        <v/>
      </c>
      <c r="D56" s="10">
        <f>B56-C56</f>
        <v/>
      </c>
      <c r="E56" s="10">
        <f>E55-D56</f>
        <v/>
      </c>
    </row>
    <row r="57">
      <c r="A57" t="n">
        <v>47</v>
      </c>
      <c r="B57" s="10">
        <f>$B$8</f>
        <v/>
      </c>
      <c r="C57" s="10">
        <f>E56*$B$6/12</f>
        <v/>
      </c>
      <c r="D57" s="10">
        <f>B57-C57</f>
        <v/>
      </c>
      <c r="E57" s="10">
        <f>E56-D57</f>
        <v/>
      </c>
    </row>
    <row r="58">
      <c r="A58" t="n">
        <v>48</v>
      </c>
      <c r="B58" s="10">
        <f>$B$8</f>
        <v/>
      </c>
      <c r="C58" s="10">
        <f>E57*$B$6/12</f>
        <v/>
      </c>
      <c r="D58" s="10">
        <f>B58-C58</f>
        <v/>
      </c>
      <c r="E58" s="10">
        <f>E57-D58</f>
        <v/>
      </c>
    </row>
    <row r="59">
      <c r="A59" t="n">
        <v>49</v>
      </c>
      <c r="B59" s="10">
        <f>$B$8</f>
        <v/>
      </c>
      <c r="C59" s="10">
        <f>E58*$B$6/12</f>
        <v/>
      </c>
      <c r="D59" s="10">
        <f>B59-C59</f>
        <v/>
      </c>
      <c r="E59" s="10">
        <f>E58-D59</f>
        <v/>
      </c>
    </row>
    <row r="60">
      <c r="A60" t="n">
        <v>50</v>
      </c>
      <c r="B60" s="10">
        <f>$B$8</f>
        <v/>
      </c>
      <c r="C60" s="10">
        <f>E59*$B$6/12</f>
        <v/>
      </c>
      <c r="D60" s="10">
        <f>B60-C60</f>
        <v/>
      </c>
      <c r="E60" s="10">
        <f>E59-D60</f>
        <v/>
      </c>
    </row>
    <row r="61">
      <c r="A61" t="n">
        <v>51</v>
      </c>
      <c r="B61" s="10">
        <f>$B$8</f>
        <v/>
      </c>
      <c r="C61" s="10">
        <f>E60*$B$6/12</f>
        <v/>
      </c>
      <c r="D61" s="10">
        <f>B61-C61</f>
        <v/>
      </c>
      <c r="E61" s="10">
        <f>E60-D61</f>
        <v/>
      </c>
    </row>
    <row r="62">
      <c r="A62" t="n">
        <v>52</v>
      </c>
      <c r="B62" s="10">
        <f>$B$8</f>
        <v/>
      </c>
      <c r="C62" s="10">
        <f>E61*$B$6/12</f>
        <v/>
      </c>
      <c r="D62" s="10">
        <f>B62-C62</f>
        <v/>
      </c>
      <c r="E62" s="10">
        <f>E61-D62</f>
        <v/>
      </c>
    </row>
    <row r="63">
      <c r="A63" t="n">
        <v>53</v>
      </c>
      <c r="B63" s="10">
        <f>$B$8</f>
        <v/>
      </c>
      <c r="C63" s="10">
        <f>E62*$B$6/12</f>
        <v/>
      </c>
      <c r="D63" s="10">
        <f>B63-C63</f>
        <v/>
      </c>
      <c r="E63" s="10">
        <f>E62-D63</f>
        <v/>
      </c>
    </row>
    <row r="64">
      <c r="A64" t="n">
        <v>54</v>
      </c>
      <c r="B64" s="10">
        <f>$B$8</f>
        <v/>
      </c>
      <c r="C64" s="10">
        <f>E63*$B$6/12</f>
        <v/>
      </c>
      <c r="D64" s="10">
        <f>B64-C64</f>
        <v/>
      </c>
      <c r="E64" s="10">
        <f>E63-D64</f>
        <v/>
      </c>
    </row>
    <row r="65">
      <c r="A65" t="n">
        <v>55</v>
      </c>
      <c r="B65" s="10">
        <f>$B$8</f>
        <v/>
      </c>
      <c r="C65" s="10">
        <f>E64*$B$6/12</f>
        <v/>
      </c>
      <c r="D65" s="10">
        <f>B65-C65</f>
        <v/>
      </c>
      <c r="E65" s="10">
        <f>E64-D65</f>
        <v/>
      </c>
    </row>
    <row r="66">
      <c r="A66" t="n">
        <v>56</v>
      </c>
      <c r="B66" s="10">
        <f>$B$8</f>
        <v/>
      </c>
      <c r="C66" s="10">
        <f>E65*$B$6/12</f>
        <v/>
      </c>
      <c r="D66" s="10">
        <f>B66-C66</f>
        <v/>
      </c>
      <c r="E66" s="10">
        <f>E65-D66</f>
        <v/>
      </c>
    </row>
    <row r="67">
      <c r="A67" t="n">
        <v>57</v>
      </c>
      <c r="B67" s="10">
        <f>$B$8</f>
        <v/>
      </c>
      <c r="C67" s="10">
        <f>E66*$B$6/12</f>
        <v/>
      </c>
      <c r="D67" s="10">
        <f>B67-C67</f>
        <v/>
      </c>
      <c r="E67" s="10">
        <f>E66-D67</f>
        <v/>
      </c>
    </row>
    <row r="68">
      <c r="A68" t="n">
        <v>58</v>
      </c>
      <c r="B68" s="10">
        <f>$B$8</f>
        <v/>
      </c>
      <c r="C68" s="10">
        <f>E67*$B$6/12</f>
        <v/>
      </c>
      <c r="D68" s="10">
        <f>B68-C68</f>
        <v/>
      </c>
      <c r="E68" s="10">
        <f>E67-D68</f>
        <v/>
      </c>
    </row>
    <row r="69">
      <c r="A69" t="n">
        <v>59</v>
      </c>
      <c r="B69" s="10">
        <f>$B$8</f>
        <v/>
      </c>
      <c r="C69" s="10">
        <f>E68*$B$6/12</f>
        <v/>
      </c>
      <c r="D69" s="10">
        <f>B69-C69</f>
        <v/>
      </c>
      <c r="E69" s="10">
        <f>E68-D69</f>
        <v/>
      </c>
    </row>
    <row r="70">
      <c r="A70" t="n">
        <v>60</v>
      </c>
      <c r="B70" s="10">
        <f>$B$8</f>
        <v/>
      </c>
      <c r="C70" s="10">
        <f>E69*$B$6/12</f>
        <v/>
      </c>
      <c r="D70" s="10">
        <f>B70-C70</f>
        <v/>
      </c>
      <c r="E70" s="10">
        <f>E69-D70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2" customWidth="1" min="5" max="5"/>
  </cols>
  <sheetData>
    <row r="1">
      <c r="A1" s="1" t="inlineStr">
        <is>
          <t>Drill 5 — The trap</t>
        </is>
      </c>
    </row>
    <row r="2">
      <c r="A2" s="4" t="inlineStr">
        <is>
          <t>A smaller monthly payment is not a cheaper loan. Prove it.</t>
        </is>
      </c>
    </row>
    <row r="4">
      <c r="A4" s="9" t="inlineStr">
        <is>
          <t>Term</t>
        </is>
      </c>
      <c r="B4" s="9" t="inlineStr">
        <is>
          <t>Monthly payment</t>
        </is>
      </c>
      <c r="C4" s="9" t="inlineStr">
        <is>
          <t>Total paid</t>
        </is>
      </c>
      <c r="D4" s="9" t="inlineStr">
        <is>
          <t>Total interest</t>
        </is>
      </c>
    </row>
    <row r="5">
      <c r="A5" t="inlineStr">
        <is>
          <t>36 months</t>
        </is>
      </c>
      <c r="B5" s="10">
        <f>PMT($B$20/12,36,-$B$19)</f>
        <v/>
      </c>
      <c r="C5" s="10">
        <f>B5*36</f>
        <v/>
      </c>
      <c r="D5" s="10">
        <f>C5-$B$19</f>
        <v/>
      </c>
    </row>
    <row r="6">
      <c r="A6" t="inlineStr">
        <is>
          <t>48 months</t>
        </is>
      </c>
      <c r="B6" s="10">
        <f>PMT($B$20/12,48,-$B$19)</f>
        <v/>
      </c>
      <c r="C6" s="10">
        <f>B6*48</f>
        <v/>
      </c>
      <c r="D6" s="10">
        <f>C6-$B$19</f>
        <v/>
      </c>
    </row>
    <row r="7">
      <c r="A7" t="inlineStr">
        <is>
          <t>60 months</t>
        </is>
      </c>
      <c r="B7" s="10">
        <f>PMT($B$20/12,60,-$B$19)</f>
        <v/>
      </c>
      <c r="C7" s="10">
        <f>B7*60</f>
        <v/>
      </c>
      <c r="D7" s="10">
        <f>C7-$B$19</f>
        <v/>
      </c>
    </row>
    <row r="8">
      <c r="A8" t="inlineStr">
        <is>
          <t>72 months</t>
        </is>
      </c>
      <c r="B8" s="10">
        <f>PMT($B$20/12,72,-$B$19)</f>
        <v/>
      </c>
      <c r="C8" s="10">
        <f>B8*72</f>
        <v/>
      </c>
      <c r="D8" s="10">
        <f>C8-$B$19</f>
        <v/>
      </c>
    </row>
    <row r="9">
      <c r="A9" t="inlineStr">
        <is>
          <t>84 months</t>
        </is>
      </c>
      <c r="B9" s="10">
        <f>PMT($B$20/12,84,-$B$19)</f>
        <v/>
      </c>
      <c r="C9" s="10">
        <f>B9*84</f>
        <v/>
      </c>
      <c r="D9" s="10">
        <f>C9-$B$19</f>
        <v/>
      </c>
    </row>
    <row r="11">
      <c r="A11" s="2" t="inlineStr">
        <is>
          <t>Amount financed</t>
        </is>
      </c>
      <c r="B11" s="6" t="n">
        <v>12000</v>
      </c>
    </row>
    <row r="12">
      <c r="A12" s="2" t="inlineStr">
        <is>
          <t>Annual rate (APR)</t>
        </is>
      </c>
      <c r="B12" s="7" t="n">
        <v>0.07000000000000001</v>
      </c>
    </row>
    <row r="14">
      <c r="A14" s="3" t="inlineStr">
        <is>
          <t>The inputs live in B19 and B20 — the formulas above point at them. Change the rate and watch every row move.</t>
        </is>
      </c>
    </row>
    <row r="16">
      <c r="A16" s="2" t="inlineStr">
        <is>
          <t>Which term would you take, and why? (One paragraph.)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2026-08-14T23:00:51Z</dcterms:created>
  <dcterms:modified xsi:type="dcterms:W3CDTF">2026-08-14T23:00:51Z</dcterms:modified>
</cp:coreProperties>
</file>