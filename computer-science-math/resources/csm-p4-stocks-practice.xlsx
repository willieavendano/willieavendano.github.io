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Trade Log" sheetId="2" state="visible" r:id="rId2"/>
    <sheet name="2-4 Returns &amp; Volatility" sheetId="3" state="visible" r:id="rId3"/>
    <sheet name="5-6 Monte Car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00%"/>
  </numFmts>
  <fonts count="6">
    <font>
      <name val="Calibri"/>
      <family val="2"/>
      <color theme="1"/>
      <sz val="11"/>
      <scheme val="minor"/>
    </font>
    <font>
      <b val="1"/>
      <color rgb="000E406A"/>
      <sz val="16"/>
    </font>
    <font>
      <b val="1"/>
    </font>
    <font>
      <i val="1"/>
      <color rgb="0055504A"/>
    </font>
    <font>
      <b val="1"/>
      <color rgb="00FFFFFF"/>
    </font>
    <font>
      <b val="1"/>
      <color rgb="000E406A"/>
      <sz val="12"/>
    </font>
  </fonts>
  <fills count="4">
    <fill>
      <patternFill/>
    </fill>
    <fill>
      <patternFill patternType="gray125"/>
    </fill>
    <fill>
      <patternFill patternType="solid">
        <fgColor rgb="000E406A"/>
      </patternFill>
    </fill>
    <fill>
      <patternFill patternType="solid">
        <fgColor rgb="00F3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166" fontId="0" fillId="3" borderId="0" pivotButton="0" quotePrefix="0" xfId="0"/>
    <xf numFmtId="10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165" fontId="0" fillId="3" borderId="0" pivotButton="0" quotePrefix="0" xfId="0"/>
    <xf numFmtId="1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Cornerstone IV Practice — Research, Returns &amp; Simulation</t>
        </is>
      </c>
    </row>
    <row r="3" ht="26" customHeight="1">
      <c r="A3" s="2" t="inlineStr">
        <is>
          <t>The challenge</t>
        </is>
      </c>
      <c r="B3" s="3" t="inlineStr">
        <is>
          <t>You are handed $100,000 of simulated capital in the Investopedia Stock Simulator. You must hold at least one position in each of six verticals — you may not put it all in tech.</t>
        </is>
      </c>
    </row>
    <row r="4" ht="39" customHeight="1">
      <c r="A4" s="2" t="inlineStr">
        <is>
          <t>The rule that matters</t>
        </is>
      </c>
      <c r="B4" s="3" t="inlineStr">
        <is>
          <t>Every trade needs a written thesis BEFORE it is placed: why this company, what you expect, and what would prove you wrong. A trade with no recorded thesis scores zero regardless of what it returns.</t>
        </is>
      </c>
    </row>
    <row r="5" ht="26" customHeight="1">
      <c r="A5" s="2" t="inlineStr">
        <is>
          <t>You are not graded on returns</t>
        </is>
      </c>
      <c r="B5" s="3" t="inlineStr">
        <is>
          <t>A well-argued loss outscores a lucky win. Markets are noisy over a semester; reasoning is what we can actually assess, and it is the thing that transfers.</t>
        </is>
      </c>
    </row>
    <row r="6" ht="26" customHeight="1">
      <c r="A6" s="2" t="inlineStr">
        <is>
          <t>Why the model matters</t>
        </is>
      </c>
      <c r="B6" s="3" t="inlineStr">
        <is>
          <t>Without a forecast you cannot tell skill from luck. The Monte Carlo work gives you an expected range, so you can say whether your result was surprising or ordinary.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6" customWidth="1" min="5" max="5"/>
    <col width="13" customWidth="1" min="6" max="6"/>
    <col width="46" customWidth="1" min="7" max="7"/>
    <col width="40" customWidth="1" min="8" max="8"/>
    <col width="40" customWidth="1" min="9" max="9"/>
  </cols>
  <sheetData>
    <row r="1">
      <c r="A1" s="1" t="inlineStr">
        <is>
          <t>Drill 1 — Record the thesis BEFORE you buy</t>
        </is>
      </c>
    </row>
    <row r="2">
      <c r="A2" s="4" t="inlineStr">
        <is>
          <t>Fill the right-hand three columns first. If you cannot write them, you are not ready to place the trade.</t>
        </is>
      </c>
    </row>
    <row r="4">
      <c r="A4" s="5" t="inlineStr">
        <is>
          <t>Ticker</t>
        </is>
      </c>
      <c r="B4" s="5" t="inlineStr">
        <is>
          <t>Vertical</t>
        </is>
      </c>
      <c r="C4" s="5" t="inlineStr">
        <is>
          <t>Shares</t>
        </is>
      </c>
      <c r="D4" s="5" t="inlineStr">
        <is>
          <t>Entry price</t>
        </is>
      </c>
      <c r="E4" s="5" t="inlineStr">
        <is>
          <t>Position value</t>
        </is>
      </c>
      <c r="F4" s="5" t="inlineStr">
        <is>
          <t>% of portfolio</t>
        </is>
      </c>
      <c r="G4" s="5" t="inlineStr">
        <is>
          <t>WHY this company (the thesis)</t>
        </is>
      </c>
      <c r="H4" s="5" t="inlineStr">
        <is>
          <t>What I expect to happen</t>
        </is>
      </c>
      <c r="I4" s="5" t="inlineStr">
        <is>
          <t>What would prove me WRONG</t>
        </is>
      </c>
    </row>
    <row r="5" ht="42" customHeight="1">
      <c r="A5" s="6" t="n"/>
      <c r="B5" t="inlineStr">
        <is>
          <t>Technology</t>
        </is>
      </c>
      <c r="C5" s="6" t="n"/>
      <c r="D5" s="6" t="n"/>
      <c r="E5" s="7">
        <f>IF(AND(C5&lt;&gt;"",D5&lt;&gt;""),C5*D5,"")</f>
        <v/>
      </c>
      <c r="F5" s="8">
        <f>IF(E5="","",E5/$B$14)</f>
        <v/>
      </c>
      <c r="G5" s="9" t="n"/>
      <c r="H5" s="9" t="n"/>
      <c r="I5" s="9" t="n"/>
    </row>
    <row r="6" ht="42" customHeight="1">
      <c r="A6" s="6" t="n"/>
      <c r="B6" t="inlineStr">
        <is>
          <t>Healthcare</t>
        </is>
      </c>
      <c r="C6" s="6" t="n"/>
      <c r="D6" s="6" t="n"/>
      <c r="E6" s="7">
        <f>IF(AND(C6&lt;&gt;"",D6&lt;&gt;""),C6*D6,"")</f>
        <v/>
      </c>
      <c r="F6" s="8">
        <f>IF(E6="","",E6/$B$14)</f>
        <v/>
      </c>
      <c r="G6" s="9" t="n"/>
      <c r="H6" s="9" t="n"/>
      <c r="I6" s="9" t="n"/>
    </row>
    <row r="7" ht="42" customHeight="1">
      <c r="A7" s="6" t="n"/>
      <c r="B7" t="inlineStr">
        <is>
          <t>Consumer</t>
        </is>
      </c>
      <c r="C7" s="6" t="n"/>
      <c r="D7" s="6" t="n"/>
      <c r="E7" s="7">
        <f>IF(AND(C7&lt;&gt;"",D7&lt;&gt;""),C7*D7,"")</f>
        <v/>
      </c>
      <c r="F7" s="8">
        <f>IF(E7="","",E7/$B$14)</f>
        <v/>
      </c>
      <c r="G7" s="9" t="n"/>
      <c r="H7" s="9" t="n"/>
      <c r="I7" s="9" t="n"/>
    </row>
    <row r="8" ht="42" customHeight="1">
      <c r="A8" s="6" t="n"/>
      <c r="B8" t="inlineStr">
        <is>
          <t>Energy &amp; Utilities</t>
        </is>
      </c>
      <c r="C8" s="6" t="n"/>
      <c r="D8" s="6" t="n"/>
      <c r="E8" s="7">
        <f>IF(AND(C8&lt;&gt;"",D8&lt;&gt;""),C8*D8,"")</f>
        <v/>
      </c>
      <c r="F8" s="8">
        <f>IF(E8="","",E8/$B$14)</f>
        <v/>
      </c>
      <c r="G8" s="9" t="n"/>
      <c r="H8" s="9" t="n"/>
      <c r="I8" s="9" t="n"/>
    </row>
    <row r="9" ht="42" customHeight="1">
      <c r="A9" s="6" t="n"/>
      <c r="B9" t="inlineStr">
        <is>
          <t>Financials</t>
        </is>
      </c>
      <c r="C9" s="6" t="n"/>
      <c r="D9" s="6" t="n"/>
      <c r="E9" s="7">
        <f>IF(AND(C9&lt;&gt;"",D9&lt;&gt;""),C9*D9,"")</f>
        <v/>
      </c>
      <c r="F9" s="8">
        <f>IF(E9="","",E9/$B$14)</f>
        <v/>
      </c>
      <c r="G9" s="9" t="n"/>
      <c r="H9" s="9" t="n"/>
      <c r="I9" s="9" t="n"/>
    </row>
    <row r="10" ht="42" customHeight="1">
      <c r="A10" s="6" t="n"/>
      <c r="B10" t="inlineStr">
        <is>
          <t>Industrials &amp; Transport</t>
        </is>
      </c>
      <c r="C10" s="6" t="n"/>
      <c r="D10" s="6" t="n"/>
      <c r="E10" s="7">
        <f>IF(AND(C10&lt;&gt;"",D10&lt;&gt;""),C10*D10,"")</f>
        <v/>
      </c>
      <c r="F10" s="8">
        <f>IF(E10="","",E10/$B$14)</f>
        <v/>
      </c>
      <c r="G10" s="9" t="n"/>
      <c r="H10" s="9" t="n"/>
      <c r="I10" s="9" t="n"/>
    </row>
    <row r="12">
      <c r="A12" s="2" t="inlineStr">
        <is>
          <t>Invested</t>
        </is>
      </c>
      <c r="E12" s="7">
        <f>SUM(E5:E10)</f>
        <v/>
      </c>
    </row>
    <row r="13">
      <c r="A13" s="2" t="inlineStr">
        <is>
          <t>Cash remaining</t>
        </is>
      </c>
      <c r="E13" s="7">
        <f>$B$14-E12</f>
        <v/>
      </c>
    </row>
    <row r="14">
      <c r="A14" s="2" t="inlineStr">
        <is>
          <t>Starting capital</t>
        </is>
      </c>
      <c r="B14" s="10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Drills 2–4 — What the price series tells you</t>
        </is>
      </c>
    </row>
    <row r="2">
      <c r="A2" s="4" t="inlineStr">
        <is>
          <t>Paste 60 trading days of closing prices for ONE holding, then build the three measures.</t>
        </is>
      </c>
    </row>
    <row r="4">
      <c r="A4" s="5" t="inlineStr">
        <is>
          <t>Day</t>
        </is>
      </c>
      <c r="B4" s="5" t="inlineStr">
        <is>
          <t>Close</t>
        </is>
      </c>
      <c r="C4" s="5" t="inlineStr">
        <is>
          <t>Daily return</t>
        </is>
      </c>
      <c r="D4" s="5" t="inlineStr">
        <is>
          <t>5-day MA</t>
        </is>
      </c>
      <c r="E4" t="inlineStr"/>
    </row>
    <row r="5">
      <c r="A5" t="n">
        <v>1</v>
      </c>
      <c r="B5" s="6" t="n"/>
      <c r="F5" s="3" t="inlineStr">
        <is>
          <t>Drill 4: run this sheet for a utility and again for a growth stock. Write one sentence on what the volatility difference means for someone holding each.</t>
        </is>
      </c>
    </row>
    <row r="6">
      <c r="A6" t="n">
        <v>2</v>
      </c>
      <c r="B6" s="6" t="n"/>
      <c r="C6" s="11">
        <f>IF(OR(B6="",B5=""),"",(B6-B5)/B5)</f>
        <v/>
      </c>
    </row>
    <row r="7">
      <c r="A7" t="n">
        <v>3</v>
      </c>
      <c r="B7" s="6" t="n"/>
      <c r="C7" s="11">
        <f>IF(OR(B7="",B6=""),"",(B7-B6)/B6)</f>
        <v/>
      </c>
    </row>
    <row r="8">
      <c r="A8" t="n">
        <v>4</v>
      </c>
      <c r="B8" s="6" t="n"/>
      <c r="C8" s="11">
        <f>IF(OR(B8="",B7=""),"",(B8-B7)/B7)</f>
        <v/>
      </c>
    </row>
    <row r="9">
      <c r="A9" t="n">
        <v>5</v>
      </c>
      <c r="B9" s="6" t="n"/>
      <c r="C9" s="11">
        <f>IF(OR(B9="",B8=""),"",(B9-B8)/B8)</f>
        <v/>
      </c>
      <c r="D9" s="7">
        <f>IF(COUNT(B5:B9)&lt;5,"",AVERAGE(B5:B9))</f>
        <v/>
      </c>
    </row>
    <row r="10">
      <c r="A10" t="n">
        <v>6</v>
      </c>
      <c r="B10" s="6" t="n"/>
      <c r="C10" s="11">
        <f>IF(OR(B10="",B9=""),"",(B10-B9)/B9)</f>
        <v/>
      </c>
      <c r="D10" s="7">
        <f>IF(COUNT(B6:B10)&lt;5,"",AVERAGE(B6:B10))</f>
        <v/>
      </c>
    </row>
    <row r="11">
      <c r="A11" t="n">
        <v>7</v>
      </c>
      <c r="B11" s="6" t="n"/>
      <c r="C11" s="11">
        <f>IF(OR(B11="",B10=""),"",(B11-B10)/B10)</f>
        <v/>
      </c>
      <c r="D11" s="7">
        <f>IF(COUNT(B7:B11)&lt;5,"",AVERAGE(B7:B11))</f>
        <v/>
      </c>
    </row>
    <row r="12">
      <c r="A12" t="n">
        <v>8</v>
      </c>
      <c r="B12" s="6" t="n"/>
      <c r="C12" s="11">
        <f>IF(OR(B12="",B11=""),"",(B12-B11)/B11)</f>
        <v/>
      </c>
      <c r="D12" s="7">
        <f>IF(COUNT(B8:B12)&lt;5,"",AVERAGE(B8:B12))</f>
        <v/>
      </c>
    </row>
    <row r="13">
      <c r="A13" t="n">
        <v>9</v>
      </c>
      <c r="B13" s="6" t="n"/>
      <c r="C13" s="11">
        <f>IF(OR(B13="",B12=""),"",(B13-B12)/B12)</f>
        <v/>
      </c>
      <c r="D13" s="7">
        <f>IF(COUNT(B9:B13)&lt;5,"",AVERAGE(B9:B13))</f>
        <v/>
      </c>
    </row>
    <row r="14">
      <c r="A14" t="n">
        <v>10</v>
      </c>
      <c r="B14" s="6" t="n"/>
      <c r="C14" s="11">
        <f>IF(OR(B14="",B13=""),"",(B14-B13)/B13)</f>
        <v/>
      </c>
      <c r="D14" s="7">
        <f>IF(COUNT(B10:B14)&lt;5,"",AVERAGE(B10:B14))</f>
        <v/>
      </c>
    </row>
    <row r="15">
      <c r="A15" t="n">
        <v>11</v>
      </c>
      <c r="B15" s="6" t="n"/>
      <c r="C15" s="11">
        <f>IF(OR(B15="",B14=""),"",(B15-B14)/B14)</f>
        <v/>
      </c>
      <c r="D15" s="7">
        <f>IF(COUNT(B11:B15)&lt;5,"",AVERAGE(B11:B15))</f>
        <v/>
      </c>
    </row>
    <row r="16">
      <c r="A16" t="n">
        <v>12</v>
      </c>
      <c r="B16" s="6" t="n"/>
      <c r="C16" s="11">
        <f>IF(OR(B16="",B15=""),"",(B16-B15)/B15)</f>
        <v/>
      </c>
      <c r="D16" s="7">
        <f>IF(COUNT(B12:B16)&lt;5,"",AVERAGE(B12:B16))</f>
        <v/>
      </c>
    </row>
    <row r="17">
      <c r="A17" t="n">
        <v>13</v>
      </c>
      <c r="B17" s="6" t="n"/>
      <c r="C17" s="11">
        <f>IF(OR(B17="",B16=""),"",(B17-B16)/B16)</f>
        <v/>
      </c>
      <c r="D17" s="7">
        <f>IF(COUNT(B13:B17)&lt;5,"",AVERAGE(B13:B17))</f>
        <v/>
      </c>
    </row>
    <row r="18">
      <c r="A18" t="n">
        <v>14</v>
      </c>
      <c r="B18" s="6" t="n"/>
      <c r="C18" s="11">
        <f>IF(OR(B18="",B17=""),"",(B18-B17)/B17)</f>
        <v/>
      </c>
      <c r="D18" s="7">
        <f>IF(COUNT(B14:B18)&lt;5,"",AVERAGE(B14:B18))</f>
        <v/>
      </c>
    </row>
    <row r="19">
      <c r="A19" t="n">
        <v>15</v>
      </c>
      <c r="B19" s="6" t="n"/>
      <c r="C19" s="11">
        <f>IF(OR(B19="",B18=""),"",(B19-B18)/B18)</f>
        <v/>
      </c>
      <c r="D19" s="7">
        <f>IF(COUNT(B15:B19)&lt;5,"",AVERAGE(B15:B19))</f>
        <v/>
      </c>
    </row>
    <row r="20">
      <c r="A20" t="n">
        <v>16</v>
      </c>
      <c r="B20" s="6" t="n"/>
      <c r="C20" s="11">
        <f>IF(OR(B20="",B19=""),"",(B20-B19)/B19)</f>
        <v/>
      </c>
      <c r="D20" s="7">
        <f>IF(COUNT(B16:B20)&lt;5,"",AVERAGE(B16:B20))</f>
        <v/>
      </c>
    </row>
    <row r="21">
      <c r="A21" t="n">
        <v>17</v>
      </c>
      <c r="B21" s="6" t="n"/>
      <c r="C21" s="11">
        <f>IF(OR(B21="",B20=""),"",(B21-B20)/B20)</f>
        <v/>
      </c>
      <c r="D21" s="7">
        <f>IF(COUNT(B17:B21)&lt;5,"",AVERAGE(B17:B21))</f>
        <v/>
      </c>
    </row>
    <row r="22">
      <c r="A22" t="n">
        <v>18</v>
      </c>
      <c r="B22" s="6" t="n"/>
      <c r="C22" s="11">
        <f>IF(OR(B22="",B21=""),"",(B22-B21)/B21)</f>
        <v/>
      </c>
      <c r="D22" s="7">
        <f>IF(COUNT(B18:B22)&lt;5,"",AVERAGE(B18:B22))</f>
        <v/>
      </c>
    </row>
    <row r="23">
      <c r="A23" t="n">
        <v>19</v>
      </c>
      <c r="B23" s="6" t="n"/>
      <c r="C23" s="11">
        <f>IF(OR(B23="",B22=""),"",(B23-B22)/B22)</f>
        <v/>
      </c>
      <c r="D23" s="7">
        <f>IF(COUNT(B19:B23)&lt;5,"",AVERAGE(B19:B23))</f>
        <v/>
      </c>
    </row>
    <row r="24">
      <c r="A24" t="n">
        <v>20</v>
      </c>
      <c r="B24" s="6" t="n"/>
      <c r="C24" s="11">
        <f>IF(OR(B24="",B23=""),"",(B24-B23)/B23)</f>
        <v/>
      </c>
      <c r="D24" s="7">
        <f>IF(COUNT(B20:B24)&lt;5,"",AVERAGE(B20:B24))</f>
        <v/>
      </c>
    </row>
    <row r="25">
      <c r="A25" t="n">
        <v>21</v>
      </c>
      <c r="B25" s="6" t="n"/>
      <c r="C25" s="11">
        <f>IF(OR(B25="",B24=""),"",(B25-B24)/B24)</f>
        <v/>
      </c>
      <c r="D25" s="7">
        <f>IF(COUNT(B21:B25)&lt;5,"",AVERAGE(B21:B25))</f>
        <v/>
      </c>
    </row>
    <row r="26">
      <c r="A26" t="n">
        <v>22</v>
      </c>
      <c r="B26" s="6" t="n"/>
      <c r="C26" s="11">
        <f>IF(OR(B26="",B25=""),"",(B26-B25)/B25)</f>
        <v/>
      </c>
      <c r="D26" s="7">
        <f>IF(COUNT(B22:B26)&lt;5,"",AVERAGE(B22:B26))</f>
        <v/>
      </c>
    </row>
    <row r="27">
      <c r="A27" t="n">
        <v>23</v>
      </c>
      <c r="B27" s="6" t="n"/>
      <c r="C27" s="11">
        <f>IF(OR(B27="",B26=""),"",(B27-B26)/B26)</f>
        <v/>
      </c>
      <c r="D27" s="7">
        <f>IF(COUNT(B23:B27)&lt;5,"",AVERAGE(B23:B27))</f>
        <v/>
      </c>
    </row>
    <row r="28">
      <c r="A28" t="n">
        <v>24</v>
      </c>
      <c r="B28" s="6" t="n"/>
      <c r="C28" s="11">
        <f>IF(OR(B28="",B27=""),"",(B28-B27)/B27)</f>
        <v/>
      </c>
      <c r="D28" s="7">
        <f>IF(COUNT(B24:B28)&lt;5,"",AVERAGE(B24:B28))</f>
        <v/>
      </c>
    </row>
    <row r="29">
      <c r="A29" t="n">
        <v>25</v>
      </c>
      <c r="B29" s="6" t="n"/>
      <c r="C29" s="11">
        <f>IF(OR(B29="",B28=""),"",(B29-B28)/B28)</f>
        <v/>
      </c>
      <c r="D29" s="7">
        <f>IF(COUNT(B25:B29)&lt;5,"",AVERAGE(B25:B29))</f>
        <v/>
      </c>
    </row>
    <row r="30">
      <c r="A30" t="n">
        <v>26</v>
      </c>
      <c r="B30" s="6" t="n"/>
      <c r="C30" s="11">
        <f>IF(OR(B30="",B29=""),"",(B30-B29)/B29)</f>
        <v/>
      </c>
      <c r="D30" s="7">
        <f>IF(COUNT(B26:B30)&lt;5,"",AVERAGE(B26:B30))</f>
        <v/>
      </c>
    </row>
    <row r="31">
      <c r="A31" t="n">
        <v>27</v>
      </c>
      <c r="B31" s="6" t="n"/>
      <c r="C31" s="11">
        <f>IF(OR(B31="",B30=""),"",(B31-B30)/B30)</f>
        <v/>
      </c>
      <c r="D31" s="7">
        <f>IF(COUNT(B27:B31)&lt;5,"",AVERAGE(B27:B31))</f>
        <v/>
      </c>
    </row>
    <row r="32">
      <c r="A32" t="n">
        <v>28</v>
      </c>
      <c r="B32" s="6" t="n"/>
      <c r="C32" s="11">
        <f>IF(OR(B32="",B31=""),"",(B32-B31)/B31)</f>
        <v/>
      </c>
      <c r="D32" s="7">
        <f>IF(COUNT(B28:B32)&lt;5,"",AVERAGE(B28:B32))</f>
        <v/>
      </c>
    </row>
    <row r="33">
      <c r="A33" t="n">
        <v>29</v>
      </c>
      <c r="B33" s="6" t="n"/>
      <c r="C33" s="11">
        <f>IF(OR(B33="",B32=""),"",(B33-B32)/B32)</f>
        <v/>
      </c>
      <c r="D33" s="7">
        <f>IF(COUNT(B29:B33)&lt;5,"",AVERAGE(B29:B33))</f>
        <v/>
      </c>
    </row>
    <row r="34">
      <c r="A34" t="n">
        <v>30</v>
      </c>
      <c r="B34" s="6" t="n"/>
      <c r="C34" s="11">
        <f>IF(OR(B34="",B33=""),"",(B34-B33)/B33)</f>
        <v/>
      </c>
      <c r="D34" s="7">
        <f>IF(COUNT(B30:B34)&lt;5,"",AVERAGE(B30:B34))</f>
        <v/>
      </c>
    </row>
    <row r="35">
      <c r="A35" t="n">
        <v>31</v>
      </c>
      <c r="B35" s="6" t="n"/>
      <c r="C35" s="11">
        <f>IF(OR(B35="",B34=""),"",(B35-B34)/B34)</f>
        <v/>
      </c>
      <c r="D35" s="7">
        <f>IF(COUNT(B31:B35)&lt;5,"",AVERAGE(B31:B35))</f>
        <v/>
      </c>
    </row>
    <row r="36">
      <c r="A36" t="n">
        <v>32</v>
      </c>
      <c r="B36" s="6" t="n"/>
      <c r="C36" s="11">
        <f>IF(OR(B36="",B35=""),"",(B36-B35)/B35)</f>
        <v/>
      </c>
      <c r="D36" s="7">
        <f>IF(COUNT(B32:B36)&lt;5,"",AVERAGE(B32:B36))</f>
        <v/>
      </c>
    </row>
    <row r="37">
      <c r="A37" t="n">
        <v>33</v>
      </c>
      <c r="B37" s="6" t="n"/>
      <c r="C37" s="11">
        <f>IF(OR(B37="",B36=""),"",(B37-B36)/B36)</f>
        <v/>
      </c>
      <c r="D37" s="7">
        <f>IF(COUNT(B33:B37)&lt;5,"",AVERAGE(B33:B37))</f>
        <v/>
      </c>
    </row>
    <row r="38">
      <c r="A38" t="n">
        <v>34</v>
      </c>
      <c r="B38" s="6" t="n"/>
      <c r="C38" s="11">
        <f>IF(OR(B38="",B37=""),"",(B38-B37)/B37)</f>
        <v/>
      </c>
      <c r="D38" s="7">
        <f>IF(COUNT(B34:B38)&lt;5,"",AVERAGE(B34:B38))</f>
        <v/>
      </c>
    </row>
    <row r="39">
      <c r="A39" t="n">
        <v>35</v>
      </c>
      <c r="B39" s="6" t="n"/>
      <c r="C39" s="11">
        <f>IF(OR(B39="",B38=""),"",(B39-B38)/B38)</f>
        <v/>
      </c>
      <c r="D39" s="7">
        <f>IF(COUNT(B35:B39)&lt;5,"",AVERAGE(B35:B39))</f>
        <v/>
      </c>
    </row>
    <row r="40">
      <c r="A40" t="n">
        <v>36</v>
      </c>
      <c r="B40" s="6" t="n"/>
      <c r="C40" s="11">
        <f>IF(OR(B40="",B39=""),"",(B40-B39)/B39)</f>
        <v/>
      </c>
      <c r="D40" s="7">
        <f>IF(COUNT(B36:B40)&lt;5,"",AVERAGE(B36:B40))</f>
        <v/>
      </c>
    </row>
    <row r="41">
      <c r="A41" t="n">
        <v>37</v>
      </c>
      <c r="B41" s="6" t="n"/>
      <c r="C41" s="11">
        <f>IF(OR(B41="",B40=""),"",(B41-B40)/B40)</f>
        <v/>
      </c>
      <c r="D41" s="7">
        <f>IF(COUNT(B37:B41)&lt;5,"",AVERAGE(B37:B41))</f>
        <v/>
      </c>
    </row>
    <row r="42">
      <c r="A42" t="n">
        <v>38</v>
      </c>
      <c r="B42" s="6" t="n"/>
      <c r="C42" s="11">
        <f>IF(OR(B42="",B41=""),"",(B42-B41)/B41)</f>
        <v/>
      </c>
      <c r="D42" s="7">
        <f>IF(COUNT(B38:B42)&lt;5,"",AVERAGE(B38:B42))</f>
        <v/>
      </c>
    </row>
    <row r="43">
      <c r="A43" t="n">
        <v>39</v>
      </c>
      <c r="B43" s="6" t="n"/>
      <c r="C43" s="11">
        <f>IF(OR(B43="",B42=""),"",(B43-B42)/B42)</f>
        <v/>
      </c>
      <c r="D43" s="7">
        <f>IF(COUNT(B39:B43)&lt;5,"",AVERAGE(B39:B43))</f>
        <v/>
      </c>
    </row>
    <row r="44">
      <c r="A44" t="n">
        <v>40</v>
      </c>
      <c r="B44" s="6" t="n"/>
      <c r="C44" s="11">
        <f>IF(OR(B44="",B43=""),"",(B44-B43)/B43)</f>
        <v/>
      </c>
      <c r="D44" s="7">
        <f>IF(COUNT(B40:B44)&lt;5,"",AVERAGE(B40:B44))</f>
        <v/>
      </c>
    </row>
    <row r="45">
      <c r="A45" t="n">
        <v>41</v>
      </c>
      <c r="B45" s="6" t="n"/>
      <c r="C45" s="11">
        <f>IF(OR(B45="",B44=""),"",(B45-B44)/B44)</f>
        <v/>
      </c>
      <c r="D45" s="7">
        <f>IF(COUNT(B41:B45)&lt;5,"",AVERAGE(B41:B45))</f>
        <v/>
      </c>
    </row>
    <row r="46">
      <c r="A46" t="n">
        <v>42</v>
      </c>
      <c r="B46" s="6" t="n"/>
      <c r="C46" s="11">
        <f>IF(OR(B46="",B45=""),"",(B46-B45)/B45)</f>
        <v/>
      </c>
      <c r="D46" s="7">
        <f>IF(COUNT(B42:B46)&lt;5,"",AVERAGE(B42:B46))</f>
        <v/>
      </c>
    </row>
    <row r="47">
      <c r="A47" t="n">
        <v>43</v>
      </c>
      <c r="B47" s="6" t="n"/>
      <c r="C47" s="11">
        <f>IF(OR(B47="",B46=""),"",(B47-B46)/B46)</f>
        <v/>
      </c>
      <c r="D47" s="7">
        <f>IF(COUNT(B43:B47)&lt;5,"",AVERAGE(B43:B47))</f>
        <v/>
      </c>
    </row>
    <row r="48">
      <c r="A48" t="n">
        <v>44</v>
      </c>
      <c r="B48" s="6" t="n"/>
      <c r="C48" s="11">
        <f>IF(OR(B48="",B47=""),"",(B48-B47)/B47)</f>
        <v/>
      </c>
      <c r="D48" s="7">
        <f>IF(COUNT(B44:B48)&lt;5,"",AVERAGE(B44:B48))</f>
        <v/>
      </c>
    </row>
    <row r="49">
      <c r="A49" t="n">
        <v>45</v>
      </c>
      <c r="B49" s="6" t="n"/>
      <c r="C49" s="11">
        <f>IF(OR(B49="",B48=""),"",(B49-B48)/B48)</f>
        <v/>
      </c>
      <c r="D49" s="7">
        <f>IF(COUNT(B45:B49)&lt;5,"",AVERAGE(B45:B49))</f>
        <v/>
      </c>
    </row>
    <row r="50">
      <c r="A50" t="n">
        <v>46</v>
      </c>
      <c r="B50" s="6" t="n"/>
      <c r="C50" s="11">
        <f>IF(OR(B50="",B49=""),"",(B50-B49)/B49)</f>
        <v/>
      </c>
      <c r="D50" s="7">
        <f>IF(COUNT(B46:B50)&lt;5,"",AVERAGE(B46:B50))</f>
        <v/>
      </c>
    </row>
    <row r="51">
      <c r="A51" t="n">
        <v>47</v>
      </c>
      <c r="B51" s="6" t="n"/>
      <c r="C51" s="11">
        <f>IF(OR(B51="",B50=""),"",(B51-B50)/B50)</f>
        <v/>
      </c>
      <c r="D51" s="7">
        <f>IF(COUNT(B47:B51)&lt;5,"",AVERAGE(B47:B51))</f>
        <v/>
      </c>
    </row>
    <row r="52">
      <c r="A52" t="n">
        <v>48</v>
      </c>
      <c r="B52" s="6" t="n"/>
      <c r="C52" s="11">
        <f>IF(OR(B52="",B51=""),"",(B52-B51)/B51)</f>
        <v/>
      </c>
      <c r="D52" s="7">
        <f>IF(COUNT(B48:B52)&lt;5,"",AVERAGE(B48:B52))</f>
        <v/>
      </c>
    </row>
    <row r="53">
      <c r="A53" t="n">
        <v>49</v>
      </c>
      <c r="B53" s="6" t="n"/>
      <c r="C53" s="11">
        <f>IF(OR(B53="",B52=""),"",(B53-B52)/B52)</f>
        <v/>
      </c>
      <c r="D53" s="7">
        <f>IF(COUNT(B49:B53)&lt;5,"",AVERAGE(B49:B53))</f>
        <v/>
      </c>
    </row>
    <row r="54">
      <c r="A54" t="n">
        <v>50</v>
      </c>
      <c r="B54" s="6" t="n"/>
      <c r="C54" s="11">
        <f>IF(OR(B54="",B53=""),"",(B54-B53)/B53)</f>
        <v/>
      </c>
      <c r="D54" s="7">
        <f>IF(COUNT(B50:B54)&lt;5,"",AVERAGE(B50:B54))</f>
        <v/>
      </c>
    </row>
    <row r="55">
      <c r="A55" t="n">
        <v>51</v>
      </c>
      <c r="B55" s="6" t="n"/>
      <c r="C55" s="11">
        <f>IF(OR(B55="",B54=""),"",(B55-B54)/B54)</f>
        <v/>
      </c>
      <c r="D55" s="7">
        <f>IF(COUNT(B51:B55)&lt;5,"",AVERAGE(B51:B55))</f>
        <v/>
      </c>
    </row>
    <row r="56">
      <c r="A56" t="n">
        <v>52</v>
      </c>
      <c r="B56" s="6" t="n"/>
      <c r="C56" s="11">
        <f>IF(OR(B56="",B55=""),"",(B56-B55)/B55)</f>
        <v/>
      </c>
      <c r="D56" s="7">
        <f>IF(COUNT(B52:B56)&lt;5,"",AVERAGE(B52:B56))</f>
        <v/>
      </c>
    </row>
    <row r="57">
      <c r="A57" t="n">
        <v>53</v>
      </c>
      <c r="B57" s="6" t="n"/>
      <c r="C57" s="11">
        <f>IF(OR(B57="",B56=""),"",(B57-B56)/B56)</f>
        <v/>
      </c>
      <c r="D57" s="7">
        <f>IF(COUNT(B53:B57)&lt;5,"",AVERAGE(B53:B57))</f>
        <v/>
      </c>
    </row>
    <row r="58">
      <c r="A58" t="n">
        <v>54</v>
      </c>
      <c r="B58" s="6" t="n"/>
      <c r="C58" s="11">
        <f>IF(OR(B58="",B57=""),"",(B58-B57)/B57)</f>
        <v/>
      </c>
      <c r="D58" s="7">
        <f>IF(COUNT(B54:B58)&lt;5,"",AVERAGE(B54:B58))</f>
        <v/>
      </c>
    </row>
    <row r="59">
      <c r="A59" t="n">
        <v>55</v>
      </c>
      <c r="B59" s="6" t="n"/>
      <c r="C59" s="11">
        <f>IF(OR(B59="",B58=""),"",(B59-B58)/B58)</f>
        <v/>
      </c>
      <c r="D59" s="7">
        <f>IF(COUNT(B55:B59)&lt;5,"",AVERAGE(B55:B59))</f>
        <v/>
      </c>
    </row>
    <row r="60">
      <c r="A60" t="n">
        <v>56</v>
      </c>
      <c r="B60" s="6" t="n"/>
      <c r="C60" s="11">
        <f>IF(OR(B60="",B59=""),"",(B60-B59)/B59)</f>
        <v/>
      </c>
      <c r="D60" s="7">
        <f>IF(COUNT(B56:B60)&lt;5,"",AVERAGE(B56:B60))</f>
        <v/>
      </c>
    </row>
    <row r="61">
      <c r="A61" t="n">
        <v>57</v>
      </c>
      <c r="B61" s="6" t="n"/>
      <c r="C61" s="11">
        <f>IF(OR(B61="",B60=""),"",(B61-B60)/B60)</f>
        <v/>
      </c>
      <c r="D61" s="7">
        <f>IF(COUNT(B57:B61)&lt;5,"",AVERAGE(B57:B61))</f>
        <v/>
      </c>
    </row>
    <row r="62">
      <c r="A62" t="n">
        <v>58</v>
      </c>
      <c r="B62" s="6" t="n"/>
      <c r="C62" s="11">
        <f>IF(OR(B62="",B61=""),"",(B62-B61)/B61)</f>
        <v/>
      </c>
      <c r="D62" s="7">
        <f>IF(COUNT(B58:B62)&lt;5,"",AVERAGE(B58:B62))</f>
        <v/>
      </c>
    </row>
    <row r="63">
      <c r="A63" t="n">
        <v>59</v>
      </c>
      <c r="B63" s="6" t="n"/>
      <c r="C63" s="11">
        <f>IF(OR(B63="",B62=""),"",(B63-B62)/B62)</f>
        <v/>
      </c>
      <c r="D63" s="7">
        <f>IF(COUNT(B59:B63)&lt;5,"",AVERAGE(B59:B63))</f>
        <v/>
      </c>
    </row>
    <row r="64">
      <c r="A64" t="n">
        <v>60</v>
      </c>
      <c r="B64" s="6" t="n"/>
      <c r="C64" s="11">
        <f>IF(OR(B64="",B63=""),"",(B64-B63)/B63)</f>
        <v/>
      </c>
      <c r="D64" s="7">
        <f>IF(COUNT(B60:B64)&lt;5,"",AVERAGE(B60:B64))</f>
        <v/>
      </c>
    </row>
    <row r="66">
      <c r="A66" s="2" t="inlineStr">
        <is>
          <t>Mean daily return</t>
        </is>
      </c>
      <c r="B66" s="12">
        <f>IFERROR(AVERAGE(C6:C64),"")</f>
        <v/>
      </c>
    </row>
    <row r="67">
      <c r="A67" s="2" t="inlineStr">
        <is>
          <t>Daily volatility (st dev)</t>
        </is>
      </c>
      <c r="B67" s="12">
        <f>IFERROR(STDEV(C6:C64),"")</f>
        <v/>
      </c>
    </row>
    <row r="68">
      <c r="A68" s="2" t="inlineStr">
        <is>
          <t>Annualised volatility</t>
        </is>
      </c>
      <c r="B68" s="8">
        <f>IFERROR(B67*SQRT(252),"")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Drills 5 &amp; 6 — A thousand futures</t>
        </is>
      </c>
    </row>
    <row r="2">
      <c r="A2" s="4" t="inlineStr">
        <is>
          <t>You cannot forecast one outcome. Forecast the distribution, then read it honestly.</t>
        </is>
      </c>
    </row>
    <row r="4">
      <c r="A4" s="13" t="inlineStr">
        <is>
          <t>INPUTS</t>
        </is>
      </c>
    </row>
    <row r="5">
      <c r="A5" s="2" t="inlineStr">
        <is>
          <t>Starting value</t>
        </is>
      </c>
      <c r="B5" s="10" t="n">
        <v>100000</v>
      </c>
    </row>
    <row r="6">
      <c r="A6" s="2" t="inlineStr">
        <is>
          <t>Expected annual return</t>
        </is>
      </c>
      <c r="B6" s="14" t="n">
        <v>0.08</v>
      </c>
    </row>
    <row r="7">
      <c r="A7" s="2" t="inlineStr">
        <is>
          <t>Annual volatility</t>
        </is>
      </c>
      <c r="B7" s="14" t="n">
        <v>0.18</v>
      </c>
    </row>
    <row r="8">
      <c r="A8" s="2" t="inlineStr">
        <is>
          <t>Years</t>
        </is>
      </c>
      <c r="B8" s="15" t="n">
        <v>1</v>
      </c>
    </row>
    <row r="10">
      <c r="A10" s="13" t="inlineStr">
        <is>
          <t>200 simulated outcomes</t>
        </is>
      </c>
    </row>
    <row r="11">
      <c r="A11" s="5" t="inlineStr">
        <is>
          <t>Trial</t>
        </is>
      </c>
      <c r="B11" s="5" t="inlineStr">
        <is>
          <t>Ending value</t>
        </is>
      </c>
    </row>
    <row r="12">
      <c r="A12" t="n">
        <v>1</v>
      </c>
      <c r="B12" s="16">
        <f>$B$5*EXP(($B$6-0.5*$B$7^2)*$B$8+$B$7*SQRT($B$8)*NORM.S.INV(RAND()))</f>
        <v/>
      </c>
      <c r="D12" s="3" t="inlineStr">
        <is>
          <t>Drill 6: quote all three percentiles in your write-up. Reporting only the median hides the risk, and hiding risk is the most common dishonesty in finance.</t>
        </is>
      </c>
    </row>
    <row r="13">
      <c r="A13" t="n">
        <v>2</v>
      </c>
      <c r="B13" s="16">
        <f>$B$5*EXP(($B$6-0.5*$B$7^2)*$B$8+$B$7*SQRT($B$8)*NORM.S.INV(RAND()))</f>
        <v/>
      </c>
    </row>
    <row r="14">
      <c r="A14" t="n">
        <v>3</v>
      </c>
      <c r="B14" s="16">
        <f>$B$5*EXP(($B$6-0.5*$B$7^2)*$B$8+$B$7*SQRT($B$8)*NORM.S.INV(RAND()))</f>
        <v/>
      </c>
    </row>
    <row r="15">
      <c r="A15" t="n">
        <v>4</v>
      </c>
      <c r="B15" s="16">
        <f>$B$5*EXP(($B$6-0.5*$B$7^2)*$B$8+$B$7*SQRT($B$8)*NORM.S.INV(RAND()))</f>
        <v/>
      </c>
    </row>
    <row r="16">
      <c r="A16" t="n">
        <v>5</v>
      </c>
      <c r="B16" s="16">
        <f>$B$5*EXP(($B$6-0.5*$B$7^2)*$B$8+$B$7*SQRT($B$8)*NORM.S.INV(RAND()))</f>
        <v/>
      </c>
    </row>
    <row r="17">
      <c r="A17" t="n">
        <v>6</v>
      </c>
      <c r="B17" s="16">
        <f>$B$5*EXP(($B$6-0.5*$B$7^2)*$B$8+$B$7*SQRT($B$8)*NORM.S.INV(RAND()))</f>
        <v/>
      </c>
    </row>
    <row r="18">
      <c r="A18" t="n">
        <v>7</v>
      </c>
      <c r="B18" s="16">
        <f>$B$5*EXP(($B$6-0.5*$B$7^2)*$B$8+$B$7*SQRT($B$8)*NORM.S.INV(RAND()))</f>
        <v/>
      </c>
    </row>
    <row r="19">
      <c r="A19" t="n">
        <v>8</v>
      </c>
      <c r="B19" s="16">
        <f>$B$5*EXP(($B$6-0.5*$B$7^2)*$B$8+$B$7*SQRT($B$8)*NORM.S.INV(RAND()))</f>
        <v/>
      </c>
    </row>
    <row r="20">
      <c r="A20" t="n">
        <v>9</v>
      </c>
      <c r="B20" s="16">
        <f>$B$5*EXP(($B$6-0.5*$B$7^2)*$B$8+$B$7*SQRT($B$8)*NORM.S.INV(RAND()))</f>
        <v/>
      </c>
    </row>
    <row r="21">
      <c r="A21" t="n">
        <v>10</v>
      </c>
      <c r="B21" s="16">
        <f>$B$5*EXP(($B$6-0.5*$B$7^2)*$B$8+$B$7*SQRT($B$8)*NORM.S.INV(RAND()))</f>
        <v/>
      </c>
    </row>
    <row r="22">
      <c r="A22" t="n">
        <v>11</v>
      </c>
      <c r="B22" s="16">
        <f>$B$5*EXP(($B$6-0.5*$B$7^2)*$B$8+$B$7*SQRT($B$8)*NORM.S.INV(RAND()))</f>
        <v/>
      </c>
    </row>
    <row r="23">
      <c r="A23" t="n">
        <v>12</v>
      </c>
      <c r="B23" s="16">
        <f>$B$5*EXP(($B$6-0.5*$B$7^2)*$B$8+$B$7*SQRT($B$8)*NORM.S.INV(RAND()))</f>
        <v/>
      </c>
    </row>
    <row r="24">
      <c r="A24" t="n">
        <v>13</v>
      </c>
      <c r="B24" s="16">
        <f>$B$5*EXP(($B$6-0.5*$B$7^2)*$B$8+$B$7*SQRT($B$8)*NORM.S.INV(RAND()))</f>
        <v/>
      </c>
    </row>
    <row r="25">
      <c r="A25" t="n">
        <v>14</v>
      </c>
      <c r="B25" s="16">
        <f>$B$5*EXP(($B$6-0.5*$B$7^2)*$B$8+$B$7*SQRT($B$8)*NORM.S.INV(RAND()))</f>
        <v/>
      </c>
    </row>
    <row r="26">
      <c r="A26" t="n">
        <v>15</v>
      </c>
      <c r="B26" s="16">
        <f>$B$5*EXP(($B$6-0.5*$B$7^2)*$B$8+$B$7*SQRT($B$8)*NORM.S.INV(RAND()))</f>
        <v/>
      </c>
    </row>
    <row r="27">
      <c r="A27" t="n">
        <v>16</v>
      </c>
      <c r="B27" s="16">
        <f>$B$5*EXP(($B$6-0.5*$B$7^2)*$B$8+$B$7*SQRT($B$8)*NORM.S.INV(RAND()))</f>
        <v/>
      </c>
    </row>
    <row r="28">
      <c r="A28" t="n">
        <v>17</v>
      </c>
      <c r="B28" s="16">
        <f>$B$5*EXP(($B$6-0.5*$B$7^2)*$B$8+$B$7*SQRT($B$8)*NORM.S.INV(RAND()))</f>
        <v/>
      </c>
    </row>
    <row r="29">
      <c r="A29" t="n">
        <v>18</v>
      </c>
      <c r="B29" s="16">
        <f>$B$5*EXP(($B$6-0.5*$B$7^2)*$B$8+$B$7*SQRT($B$8)*NORM.S.INV(RAND()))</f>
        <v/>
      </c>
    </row>
    <row r="30">
      <c r="A30" t="n">
        <v>19</v>
      </c>
      <c r="B30" s="16">
        <f>$B$5*EXP(($B$6-0.5*$B$7^2)*$B$8+$B$7*SQRT($B$8)*NORM.S.INV(RAND()))</f>
        <v/>
      </c>
    </row>
    <row r="31">
      <c r="A31" t="n">
        <v>20</v>
      </c>
      <c r="B31" s="16">
        <f>$B$5*EXP(($B$6-0.5*$B$7^2)*$B$8+$B$7*SQRT($B$8)*NORM.S.INV(RAND()))</f>
        <v/>
      </c>
    </row>
    <row r="32">
      <c r="A32" t="n">
        <v>21</v>
      </c>
      <c r="B32" s="16">
        <f>$B$5*EXP(($B$6-0.5*$B$7^2)*$B$8+$B$7*SQRT($B$8)*NORM.S.INV(RAND()))</f>
        <v/>
      </c>
    </row>
    <row r="33">
      <c r="A33" t="n">
        <v>22</v>
      </c>
      <c r="B33" s="16">
        <f>$B$5*EXP(($B$6-0.5*$B$7^2)*$B$8+$B$7*SQRT($B$8)*NORM.S.INV(RAND()))</f>
        <v/>
      </c>
    </row>
    <row r="34">
      <c r="A34" t="n">
        <v>23</v>
      </c>
      <c r="B34" s="16">
        <f>$B$5*EXP(($B$6-0.5*$B$7^2)*$B$8+$B$7*SQRT($B$8)*NORM.S.INV(RAND()))</f>
        <v/>
      </c>
    </row>
    <row r="35">
      <c r="A35" t="n">
        <v>24</v>
      </c>
      <c r="B35" s="16">
        <f>$B$5*EXP(($B$6-0.5*$B$7^2)*$B$8+$B$7*SQRT($B$8)*NORM.S.INV(RAND()))</f>
        <v/>
      </c>
    </row>
    <row r="36">
      <c r="A36" t="n">
        <v>25</v>
      </c>
      <c r="B36" s="16">
        <f>$B$5*EXP(($B$6-0.5*$B$7^2)*$B$8+$B$7*SQRT($B$8)*NORM.S.INV(RAND()))</f>
        <v/>
      </c>
    </row>
    <row r="37">
      <c r="A37" t="n">
        <v>26</v>
      </c>
      <c r="B37" s="16">
        <f>$B$5*EXP(($B$6-0.5*$B$7^2)*$B$8+$B$7*SQRT($B$8)*NORM.S.INV(RAND()))</f>
        <v/>
      </c>
    </row>
    <row r="38">
      <c r="A38" t="n">
        <v>27</v>
      </c>
      <c r="B38" s="16">
        <f>$B$5*EXP(($B$6-0.5*$B$7^2)*$B$8+$B$7*SQRT($B$8)*NORM.S.INV(RAND()))</f>
        <v/>
      </c>
    </row>
    <row r="39">
      <c r="A39" t="n">
        <v>28</v>
      </c>
      <c r="B39" s="16">
        <f>$B$5*EXP(($B$6-0.5*$B$7^2)*$B$8+$B$7*SQRT($B$8)*NORM.S.INV(RAND()))</f>
        <v/>
      </c>
    </row>
    <row r="40">
      <c r="A40" t="n">
        <v>29</v>
      </c>
      <c r="B40" s="16">
        <f>$B$5*EXP(($B$6-0.5*$B$7^2)*$B$8+$B$7*SQRT($B$8)*NORM.S.INV(RAND()))</f>
        <v/>
      </c>
    </row>
    <row r="41">
      <c r="A41" t="n">
        <v>30</v>
      </c>
      <c r="B41" s="16">
        <f>$B$5*EXP(($B$6-0.5*$B$7^2)*$B$8+$B$7*SQRT($B$8)*NORM.S.INV(RAND()))</f>
        <v/>
      </c>
    </row>
    <row r="42">
      <c r="A42" t="n">
        <v>31</v>
      </c>
      <c r="B42" s="16">
        <f>$B$5*EXP(($B$6-0.5*$B$7^2)*$B$8+$B$7*SQRT($B$8)*NORM.S.INV(RAND()))</f>
        <v/>
      </c>
    </row>
    <row r="43">
      <c r="A43" t="n">
        <v>32</v>
      </c>
      <c r="B43" s="16">
        <f>$B$5*EXP(($B$6-0.5*$B$7^2)*$B$8+$B$7*SQRT($B$8)*NORM.S.INV(RAND()))</f>
        <v/>
      </c>
    </row>
    <row r="44">
      <c r="A44" t="n">
        <v>33</v>
      </c>
      <c r="B44" s="16">
        <f>$B$5*EXP(($B$6-0.5*$B$7^2)*$B$8+$B$7*SQRT($B$8)*NORM.S.INV(RAND()))</f>
        <v/>
      </c>
    </row>
    <row r="45">
      <c r="A45" t="n">
        <v>34</v>
      </c>
      <c r="B45" s="16">
        <f>$B$5*EXP(($B$6-0.5*$B$7^2)*$B$8+$B$7*SQRT($B$8)*NORM.S.INV(RAND()))</f>
        <v/>
      </c>
    </row>
    <row r="46">
      <c r="A46" t="n">
        <v>35</v>
      </c>
      <c r="B46" s="16">
        <f>$B$5*EXP(($B$6-0.5*$B$7^2)*$B$8+$B$7*SQRT($B$8)*NORM.S.INV(RAND()))</f>
        <v/>
      </c>
    </row>
    <row r="47">
      <c r="A47" t="n">
        <v>36</v>
      </c>
      <c r="B47" s="16">
        <f>$B$5*EXP(($B$6-0.5*$B$7^2)*$B$8+$B$7*SQRT($B$8)*NORM.S.INV(RAND()))</f>
        <v/>
      </c>
    </row>
    <row r="48">
      <c r="A48" t="n">
        <v>37</v>
      </c>
      <c r="B48" s="16">
        <f>$B$5*EXP(($B$6-0.5*$B$7^2)*$B$8+$B$7*SQRT($B$8)*NORM.S.INV(RAND()))</f>
        <v/>
      </c>
    </row>
    <row r="49">
      <c r="A49" t="n">
        <v>38</v>
      </c>
      <c r="B49" s="16">
        <f>$B$5*EXP(($B$6-0.5*$B$7^2)*$B$8+$B$7*SQRT($B$8)*NORM.S.INV(RAND()))</f>
        <v/>
      </c>
    </row>
    <row r="50">
      <c r="A50" t="n">
        <v>39</v>
      </c>
      <c r="B50" s="16">
        <f>$B$5*EXP(($B$6-0.5*$B$7^2)*$B$8+$B$7*SQRT($B$8)*NORM.S.INV(RAND()))</f>
        <v/>
      </c>
    </row>
    <row r="51">
      <c r="A51" t="n">
        <v>40</v>
      </c>
      <c r="B51" s="16">
        <f>$B$5*EXP(($B$6-0.5*$B$7^2)*$B$8+$B$7*SQRT($B$8)*NORM.S.INV(RAND()))</f>
        <v/>
      </c>
    </row>
    <row r="52">
      <c r="A52" t="n">
        <v>41</v>
      </c>
      <c r="B52" s="16">
        <f>$B$5*EXP(($B$6-0.5*$B$7^2)*$B$8+$B$7*SQRT($B$8)*NORM.S.INV(RAND()))</f>
        <v/>
      </c>
    </row>
    <row r="53">
      <c r="A53" t="n">
        <v>42</v>
      </c>
      <c r="B53" s="16">
        <f>$B$5*EXP(($B$6-0.5*$B$7^2)*$B$8+$B$7*SQRT($B$8)*NORM.S.INV(RAND()))</f>
        <v/>
      </c>
    </row>
    <row r="54">
      <c r="A54" t="n">
        <v>43</v>
      </c>
      <c r="B54" s="16">
        <f>$B$5*EXP(($B$6-0.5*$B$7^2)*$B$8+$B$7*SQRT($B$8)*NORM.S.INV(RAND()))</f>
        <v/>
      </c>
    </row>
    <row r="55">
      <c r="A55" t="n">
        <v>44</v>
      </c>
      <c r="B55" s="16">
        <f>$B$5*EXP(($B$6-0.5*$B$7^2)*$B$8+$B$7*SQRT($B$8)*NORM.S.INV(RAND()))</f>
        <v/>
      </c>
    </row>
    <row r="56">
      <c r="A56" t="n">
        <v>45</v>
      </c>
      <c r="B56" s="16">
        <f>$B$5*EXP(($B$6-0.5*$B$7^2)*$B$8+$B$7*SQRT($B$8)*NORM.S.INV(RAND()))</f>
        <v/>
      </c>
    </row>
    <row r="57">
      <c r="A57" t="n">
        <v>46</v>
      </c>
      <c r="B57" s="16">
        <f>$B$5*EXP(($B$6-0.5*$B$7^2)*$B$8+$B$7*SQRT($B$8)*NORM.S.INV(RAND()))</f>
        <v/>
      </c>
    </row>
    <row r="58">
      <c r="A58" t="n">
        <v>47</v>
      </c>
      <c r="B58" s="16">
        <f>$B$5*EXP(($B$6-0.5*$B$7^2)*$B$8+$B$7*SQRT($B$8)*NORM.S.INV(RAND()))</f>
        <v/>
      </c>
    </row>
    <row r="59">
      <c r="A59" t="n">
        <v>48</v>
      </c>
      <c r="B59" s="16">
        <f>$B$5*EXP(($B$6-0.5*$B$7^2)*$B$8+$B$7*SQRT($B$8)*NORM.S.INV(RAND()))</f>
        <v/>
      </c>
    </row>
    <row r="60">
      <c r="A60" t="n">
        <v>49</v>
      </c>
      <c r="B60" s="16">
        <f>$B$5*EXP(($B$6-0.5*$B$7^2)*$B$8+$B$7*SQRT($B$8)*NORM.S.INV(RAND()))</f>
        <v/>
      </c>
    </row>
    <row r="61">
      <c r="A61" t="n">
        <v>50</v>
      </c>
      <c r="B61" s="16">
        <f>$B$5*EXP(($B$6-0.5*$B$7^2)*$B$8+$B$7*SQRT($B$8)*NORM.S.INV(RAND()))</f>
        <v/>
      </c>
    </row>
    <row r="62">
      <c r="A62" t="n">
        <v>51</v>
      </c>
      <c r="B62" s="16">
        <f>$B$5*EXP(($B$6-0.5*$B$7^2)*$B$8+$B$7*SQRT($B$8)*NORM.S.INV(RAND()))</f>
        <v/>
      </c>
    </row>
    <row r="63">
      <c r="A63" t="n">
        <v>52</v>
      </c>
      <c r="B63" s="16">
        <f>$B$5*EXP(($B$6-0.5*$B$7^2)*$B$8+$B$7*SQRT($B$8)*NORM.S.INV(RAND()))</f>
        <v/>
      </c>
    </row>
    <row r="64">
      <c r="A64" t="n">
        <v>53</v>
      </c>
      <c r="B64" s="16">
        <f>$B$5*EXP(($B$6-0.5*$B$7^2)*$B$8+$B$7*SQRT($B$8)*NORM.S.INV(RAND()))</f>
        <v/>
      </c>
    </row>
    <row r="65">
      <c r="A65" t="n">
        <v>54</v>
      </c>
      <c r="B65" s="16">
        <f>$B$5*EXP(($B$6-0.5*$B$7^2)*$B$8+$B$7*SQRT($B$8)*NORM.S.INV(RAND()))</f>
        <v/>
      </c>
    </row>
    <row r="66">
      <c r="A66" t="n">
        <v>55</v>
      </c>
      <c r="B66" s="16">
        <f>$B$5*EXP(($B$6-0.5*$B$7^2)*$B$8+$B$7*SQRT($B$8)*NORM.S.INV(RAND()))</f>
        <v/>
      </c>
    </row>
    <row r="67">
      <c r="A67" t="n">
        <v>56</v>
      </c>
      <c r="B67" s="16">
        <f>$B$5*EXP(($B$6-0.5*$B$7^2)*$B$8+$B$7*SQRT($B$8)*NORM.S.INV(RAND()))</f>
        <v/>
      </c>
    </row>
    <row r="68">
      <c r="A68" t="n">
        <v>57</v>
      </c>
      <c r="B68" s="16">
        <f>$B$5*EXP(($B$6-0.5*$B$7^2)*$B$8+$B$7*SQRT($B$8)*NORM.S.INV(RAND()))</f>
        <v/>
      </c>
    </row>
    <row r="69">
      <c r="A69" t="n">
        <v>58</v>
      </c>
      <c r="B69" s="16">
        <f>$B$5*EXP(($B$6-0.5*$B$7^2)*$B$8+$B$7*SQRT($B$8)*NORM.S.INV(RAND()))</f>
        <v/>
      </c>
    </row>
    <row r="70">
      <c r="A70" t="n">
        <v>59</v>
      </c>
      <c r="B70" s="16">
        <f>$B$5*EXP(($B$6-0.5*$B$7^2)*$B$8+$B$7*SQRT($B$8)*NORM.S.INV(RAND()))</f>
        <v/>
      </c>
    </row>
    <row r="71">
      <c r="A71" t="n">
        <v>60</v>
      </c>
      <c r="B71" s="16">
        <f>$B$5*EXP(($B$6-0.5*$B$7^2)*$B$8+$B$7*SQRT($B$8)*NORM.S.INV(RAND()))</f>
        <v/>
      </c>
    </row>
    <row r="72">
      <c r="A72" t="n">
        <v>61</v>
      </c>
      <c r="B72" s="16">
        <f>$B$5*EXP(($B$6-0.5*$B$7^2)*$B$8+$B$7*SQRT($B$8)*NORM.S.INV(RAND()))</f>
        <v/>
      </c>
    </row>
    <row r="73">
      <c r="A73" t="n">
        <v>62</v>
      </c>
      <c r="B73" s="16">
        <f>$B$5*EXP(($B$6-0.5*$B$7^2)*$B$8+$B$7*SQRT($B$8)*NORM.S.INV(RAND()))</f>
        <v/>
      </c>
    </row>
    <row r="74">
      <c r="A74" t="n">
        <v>63</v>
      </c>
      <c r="B74" s="16">
        <f>$B$5*EXP(($B$6-0.5*$B$7^2)*$B$8+$B$7*SQRT($B$8)*NORM.S.INV(RAND()))</f>
        <v/>
      </c>
    </row>
    <row r="75">
      <c r="A75" t="n">
        <v>64</v>
      </c>
      <c r="B75" s="16">
        <f>$B$5*EXP(($B$6-0.5*$B$7^2)*$B$8+$B$7*SQRT($B$8)*NORM.S.INV(RAND()))</f>
        <v/>
      </c>
    </row>
    <row r="76">
      <c r="A76" t="n">
        <v>65</v>
      </c>
      <c r="B76" s="16">
        <f>$B$5*EXP(($B$6-0.5*$B$7^2)*$B$8+$B$7*SQRT($B$8)*NORM.S.INV(RAND()))</f>
        <v/>
      </c>
    </row>
    <row r="77">
      <c r="A77" t="n">
        <v>66</v>
      </c>
      <c r="B77" s="16">
        <f>$B$5*EXP(($B$6-0.5*$B$7^2)*$B$8+$B$7*SQRT($B$8)*NORM.S.INV(RAND()))</f>
        <v/>
      </c>
    </row>
    <row r="78">
      <c r="A78" t="n">
        <v>67</v>
      </c>
      <c r="B78" s="16">
        <f>$B$5*EXP(($B$6-0.5*$B$7^2)*$B$8+$B$7*SQRT($B$8)*NORM.S.INV(RAND()))</f>
        <v/>
      </c>
    </row>
    <row r="79">
      <c r="A79" t="n">
        <v>68</v>
      </c>
      <c r="B79" s="16">
        <f>$B$5*EXP(($B$6-0.5*$B$7^2)*$B$8+$B$7*SQRT($B$8)*NORM.S.INV(RAND()))</f>
        <v/>
      </c>
    </row>
    <row r="80">
      <c r="A80" t="n">
        <v>69</v>
      </c>
      <c r="B80" s="16">
        <f>$B$5*EXP(($B$6-0.5*$B$7^2)*$B$8+$B$7*SQRT($B$8)*NORM.S.INV(RAND()))</f>
        <v/>
      </c>
    </row>
    <row r="81">
      <c r="A81" t="n">
        <v>70</v>
      </c>
      <c r="B81" s="16">
        <f>$B$5*EXP(($B$6-0.5*$B$7^2)*$B$8+$B$7*SQRT($B$8)*NORM.S.INV(RAND()))</f>
        <v/>
      </c>
    </row>
    <row r="82">
      <c r="A82" t="n">
        <v>71</v>
      </c>
      <c r="B82" s="16">
        <f>$B$5*EXP(($B$6-0.5*$B$7^2)*$B$8+$B$7*SQRT($B$8)*NORM.S.INV(RAND()))</f>
        <v/>
      </c>
    </row>
    <row r="83">
      <c r="A83" t="n">
        <v>72</v>
      </c>
      <c r="B83" s="16">
        <f>$B$5*EXP(($B$6-0.5*$B$7^2)*$B$8+$B$7*SQRT($B$8)*NORM.S.INV(RAND()))</f>
        <v/>
      </c>
    </row>
    <row r="84">
      <c r="A84" t="n">
        <v>73</v>
      </c>
      <c r="B84" s="16">
        <f>$B$5*EXP(($B$6-0.5*$B$7^2)*$B$8+$B$7*SQRT($B$8)*NORM.S.INV(RAND()))</f>
        <v/>
      </c>
    </row>
    <row r="85">
      <c r="A85" t="n">
        <v>74</v>
      </c>
      <c r="B85" s="16">
        <f>$B$5*EXP(($B$6-0.5*$B$7^2)*$B$8+$B$7*SQRT($B$8)*NORM.S.INV(RAND()))</f>
        <v/>
      </c>
    </row>
    <row r="86">
      <c r="A86" t="n">
        <v>75</v>
      </c>
      <c r="B86" s="16">
        <f>$B$5*EXP(($B$6-0.5*$B$7^2)*$B$8+$B$7*SQRT($B$8)*NORM.S.INV(RAND()))</f>
        <v/>
      </c>
    </row>
    <row r="87">
      <c r="A87" t="n">
        <v>76</v>
      </c>
      <c r="B87" s="16">
        <f>$B$5*EXP(($B$6-0.5*$B$7^2)*$B$8+$B$7*SQRT($B$8)*NORM.S.INV(RAND()))</f>
        <v/>
      </c>
    </row>
    <row r="88">
      <c r="A88" t="n">
        <v>77</v>
      </c>
      <c r="B88" s="16">
        <f>$B$5*EXP(($B$6-0.5*$B$7^2)*$B$8+$B$7*SQRT($B$8)*NORM.S.INV(RAND()))</f>
        <v/>
      </c>
    </row>
    <row r="89">
      <c r="A89" t="n">
        <v>78</v>
      </c>
      <c r="B89" s="16">
        <f>$B$5*EXP(($B$6-0.5*$B$7^2)*$B$8+$B$7*SQRT($B$8)*NORM.S.INV(RAND()))</f>
        <v/>
      </c>
    </row>
    <row r="90">
      <c r="A90" t="n">
        <v>79</v>
      </c>
      <c r="B90" s="16">
        <f>$B$5*EXP(($B$6-0.5*$B$7^2)*$B$8+$B$7*SQRT($B$8)*NORM.S.INV(RAND()))</f>
        <v/>
      </c>
    </row>
    <row r="91">
      <c r="A91" t="n">
        <v>80</v>
      </c>
      <c r="B91" s="16">
        <f>$B$5*EXP(($B$6-0.5*$B$7^2)*$B$8+$B$7*SQRT($B$8)*NORM.S.INV(RAND()))</f>
        <v/>
      </c>
    </row>
    <row r="92">
      <c r="A92" t="n">
        <v>81</v>
      </c>
      <c r="B92" s="16">
        <f>$B$5*EXP(($B$6-0.5*$B$7^2)*$B$8+$B$7*SQRT($B$8)*NORM.S.INV(RAND()))</f>
        <v/>
      </c>
    </row>
    <row r="93">
      <c r="A93" t="n">
        <v>82</v>
      </c>
      <c r="B93" s="16">
        <f>$B$5*EXP(($B$6-0.5*$B$7^2)*$B$8+$B$7*SQRT($B$8)*NORM.S.INV(RAND()))</f>
        <v/>
      </c>
    </row>
    <row r="94">
      <c r="A94" t="n">
        <v>83</v>
      </c>
      <c r="B94" s="16">
        <f>$B$5*EXP(($B$6-0.5*$B$7^2)*$B$8+$B$7*SQRT($B$8)*NORM.S.INV(RAND()))</f>
        <v/>
      </c>
    </row>
    <row r="95">
      <c r="A95" t="n">
        <v>84</v>
      </c>
      <c r="B95" s="16">
        <f>$B$5*EXP(($B$6-0.5*$B$7^2)*$B$8+$B$7*SQRT($B$8)*NORM.S.INV(RAND()))</f>
        <v/>
      </c>
    </row>
    <row r="96">
      <c r="A96" t="n">
        <v>85</v>
      </c>
      <c r="B96" s="16">
        <f>$B$5*EXP(($B$6-0.5*$B$7^2)*$B$8+$B$7*SQRT($B$8)*NORM.S.INV(RAND()))</f>
        <v/>
      </c>
    </row>
    <row r="97">
      <c r="A97" t="n">
        <v>86</v>
      </c>
      <c r="B97" s="16">
        <f>$B$5*EXP(($B$6-0.5*$B$7^2)*$B$8+$B$7*SQRT($B$8)*NORM.S.INV(RAND()))</f>
        <v/>
      </c>
    </row>
    <row r="98">
      <c r="A98" t="n">
        <v>87</v>
      </c>
      <c r="B98" s="16">
        <f>$B$5*EXP(($B$6-0.5*$B$7^2)*$B$8+$B$7*SQRT($B$8)*NORM.S.INV(RAND()))</f>
        <v/>
      </c>
    </row>
    <row r="99">
      <c r="A99" t="n">
        <v>88</v>
      </c>
      <c r="B99" s="16">
        <f>$B$5*EXP(($B$6-0.5*$B$7^2)*$B$8+$B$7*SQRT($B$8)*NORM.S.INV(RAND()))</f>
        <v/>
      </c>
    </row>
    <row r="100">
      <c r="A100" t="n">
        <v>89</v>
      </c>
      <c r="B100" s="16">
        <f>$B$5*EXP(($B$6-0.5*$B$7^2)*$B$8+$B$7*SQRT($B$8)*NORM.S.INV(RAND()))</f>
        <v/>
      </c>
    </row>
    <row r="101">
      <c r="A101" t="n">
        <v>90</v>
      </c>
      <c r="B101" s="16">
        <f>$B$5*EXP(($B$6-0.5*$B$7^2)*$B$8+$B$7*SQRT($B$8)*NORM.S.INV(RAND()))</f>
        <v/>
      </c>
    </row>
    <row r="102">
      <c r="A102" t="n">
        <v>91</v>
      </c>
      <c r="B102" s="16">
        <f>$B$5*EXP(($B$6-0.5*$B$7^2)*$B$8+$B$7*SQRT($B$8)*NORM.S.INV(RAND()))</f>
        <v/>
      </c>
    </row>
    <row r="103">
      <c r="A103" t="n">
        <v>92</v>
      </c>
      <c r="B103" s="16">
        <f>$B$5*EXP(($B$6-0.5*$B$7^2)*$B$8+$B$7*SQRT($B$8)*NORM.S.INV(RAND()))</f>
        <v/>
      </c>
    </row>
    <row r="104">
      <c r="A104" t="n">
        <v>93</v>
      </c>
      <c r="B104" s="16">
        <f>$B$5*EXP(($B$6-0.5*$B$7^2)*$B$8+$B$7*SQRT($B$8)*NORM.S.INV(RAND()))</f>
        <v/>
      </c>
    </row>
    <row r="105">
      <c r="A105" t="n">
        <v>94</v>
      </c>
      <c r="B105" s="16">
        <f>$B$5*EXP(($B$6-0.5*$B$7^2)*$B$8+$B$7*SQRT($B$8)*NORM.S.INV(RAND()))</f>
        <v/>
      </c>
    </row>
    <row r="106">
      <c r="A106" t="n">
        <v>95</v>
      </c>
      <c r="B106" s="16">
        <f>$B$5*EXP(($B$6-0.5*$B$7^2)*$B$8+$B$7*SQRT($B$8)*NORM.S.INV(RAND()))</f>
        <v/>
      </c>
    </row>
    <row r="107">
      <c r="A107" t="n">
        <v>96</v>
      </c>
      <c r="B107" s="16">
        <f>$B$5*EXP(($B$6-0.5*$B$7^2)*$B$8+$B$7*SQRT($B$8)*NORM.S.INV(RAND()))</f>
        <v/>
      </c>
    </row>
    <row r="108">
      <c r="A108" t="n">
        <v>97</v>
      </c>
      <c r="B108" s="16">
        <f>$B$5*EXP(($B$6-0.5*$B$7^2)*$B$8+$B$7*SQRT($B$8)*NORM.S.INV(RAND()))</f>
        <v/>
      </c>
    </row>
    <row r="109">
      <c r="A109" t="n">
        <v>98</v>
      </c>
      <c r="B109" s="16">
        <f>$B$5*EXP(($B$6-0.5*$B$7^2)*$B$8+$B$7*SQRT($B$8)*NORM.S.INV(RAND()))</f>
        <v/>
      </c>
    </row>
    <row r="110">
      <c r="A110" t="n">
        <v>99</v>
      </c>
      <c r="B110" s="16">
        <f>$B$5*EXP(($B$6-0.5*$B$7^2)*$B$8+$B$7*SQRT($B$8)*NORM.S.INV(RAND()))</f>
        <v/>
      </c>
    </row>
    <row r="111">
      <c r="A111" t="n">
        <v>100</v>
      </c>
      <c r="B111" s="16">
        <f>$B$5*EXP(($B$6-0.5*$B$7^2)*$B$8+$B$7*SQRT($B$8)*NORM.S.INV(RAND()))</f>
        <v/>
      </c>
    </row>
    <row r="112">
      <c r="A112" t="n">
        <v>101</v>
      </c>
      <c r="B112" s="16">
        <f>$B$5*EXP(($B$6-0.5*$B$7^2)*$B$8+$B$7*SQRT($B$8)*NORM.S.INV(RAND()))</f>
        <v/>
      </c>
    </row>
    <row r="113">
      <c r="A113" t="n">
        <v>102</v>
      </c>
      <c r="B113" s="16">
        <f>$B$5*EXP(($B$6-0.5*$B$7^2)*$B$8+$B$7*SQRT($B$8)*NORM.S.INV(RAND()))</f>
        <v/>
      </c>
    </row>
    <row r="114">
      <c r="A114" t="n">
        <v>103</v>
      </c>
      <c r="B114" s="16">
        <f>$B$5*EXP(($B$6-0.5*$B$7^2)*$B$8+$B$7*SQRT($B$8)*NORM.S.INV(RAND()))</f>
        <v/>
      </c>
    </row>
    <row r="115">
      <c r="A115" t="n">
        <v>104</v>
      </c>
      <c r="B115" s="16">
        <f>$B$5*EXP(($B$6-0.5*$B$7^2)*$B$8+$B$7*SQRT($B$8)*NORM.S.INV(RAND()))</f>
        <v/>
      </c>
    </row>
    <row r="116">
      <c r="A116" t="n">
        <v>105</v>
      </c>
      <c r="B116" s="16">
        <f>$B$5*EXP(($B$6-0.5*$B$7^2)*$B$8+$B$7*SQRT($B$8)*NORM.S.INV(RAND()))</f>
        <v/>
      </c>
    </row>
    <row r="117">
      <c r="A117" t="n">
        <v>106</v>
      </c>
      <c r="B117" s="16">
        <f>$B$5*EXP(($B$6-0.5*$B$7^2)*$B$8+$B$7*SQRT($B$8)*NORM.S.INV(RAND()))</f>
        <v/>
      </c>
    </row>
    <row r="118">
      <c r="A118" t="n">
        <v>107</v>
      </c>
      <c r="B118" s="16">
        <f>$B$5*EXP(($B$6-0.5*$B$7^2)*$B$8+$B$7*SQRT($B$8)*NORM.S.INV(RAND()))</f>
        <v/>
      </c>
    </row>
    <row r="119">
      <c r="A119" t="n">
        <v>108</v>
      </c>
      <c r="B119" s="16">
        <f>$B$5*EXP(($B$6-0.5*$B$7^2)*$B$8+$B$7*SQRT($B$8)*NORM.S.INV(RAND()))</f>
        <v/>
      </c>
    </row>
    <row r="120">
      <c r="A120" t="n">
        <v>109</v>
      </c>
      <c r="B120" s="16">
        <f>$B$5*EXP(($B$6-0.5*$B$7^2)*$B$8+$B$7*SQRT($B$8)*NORM.S.INV(RAND()))</f>
        <v/>
      </c>
    </row>
    <row r="121">
      <c r="A121" t="n">
        <v>110</v>
      </c>
      <c r="B121" s="16">
        <f>$B$5*EXP(($B$6-0.5*$B$7^2)*$B$8+$B$7*SQRT($B$8)*NORM.S.INV(RAND()))</f>
        <v/>
      </c>
    </row>
    <row r="122">
      <c r="A122" t="n">
        <v>111</v>
      </c>
      <c r="B122" s="16">
        <f>$B$5*EXP(($B$6-0.5*$B$7^2)*$B$8+$B$7*SQRT($B$8)*NORM.S.INV(RAND()))</f>
        <v/>
      </c>
    </row>
    <row r="123">
      <c r="A123" t="n">
        <v>112</v>
      </c>
      <c r="B123" s="16">
        <f>$B$5*EXP(($B$6-0.5*$B$7^2)*$B$8+$B$7*SQRT($B$8)*NORM.S.INV(RAND()))</f>
        <v/>
      </c>
    </row>
    <row r="124">
      <c r="A124" t="n">
        <v>113</v>
      </c>
      <c r="B124" s="16">
        <f>$B$5*EXP(($B$6-0.5*$B$7^2)*$B$8+$B$7*SQRT($B$8)*NORM.S.INV(RAND()))</f>
        <v/>
      </c>
    </row>
    <row r="125">
      <c r="A125" t="n">
        <v>114</v>
      </c>
      <c r="B125" s="16">
        <f>$B$5*EXP(($B$6-0.5*$B$7^2)*$B$8+$B$7*SQRT($B$8)*NORM.S.INV(RAND()))</f>
        <v/>
      </c>
    </row>
    <row r="126">
      <c r="A126" t="n">
        <v>115</v>
      </c>
      <c r="B126" s="16">
        <f>$B$5*EXP(($B$6-0.5*$B$7^2)*$B$8+$B$7*SQRT($B$8)*NORM.S.INV(RAND()))</f>
        <v/>
      </c>
    </row>
    <row r="127">
      <c r="A127" t="n">
        <v>116</v>
      </c>
      <c r="B127" s="16">
        <f>$B$5*EXP(($B$6-0.5*$B$7^2)*$B$8+$B$7*SQRT($B$8)*NORM.S.INV(RAND()))</f>
        <v/>
      </c>
    </row>
    <row r="128">
      <c r="A128" t="n">
        <v>117</v>
      </c>
      <c r="B128" s="16">
        <f>$B$5*EXP(($B$6-0.5*$B$7^2)*$B$8+$B$7*SQRT($B$8)*NORM.S.INV(RAND()))</f>
        <v/>
      </c>
    </row>
    <row r="129">
      <c r="A129" t="n">
        <v>118</v>
      </c>
      <c r="B129" s="16">
        <f>$B$5*EXP(($B$6-0.5*$B$7^2)*$B$8+$B$7*SQRT($B$8)*NORM.S.INV(RAND()))</f>
        <v/>
      </c>
    </row>
    <row r="130">
      <c r="A130" t="n">
        <v>119</v>
      </c>
      <c r="B130" s="16">
        <f>$B$5*EXP(($B$6-0.5*$B$7^2)*$B$8+$B$7*SQRT($B$8)*NORM.S.INV(RAND()))</f>
        <v/>
      </c>
    </row>
    <row r="131">
      <c r="A131" t="n">
        <v>120</v>
      </c>
      <c r="B131" s="16">
        <f>$B$5*EXP(($B$6-0.5*$B$7^2)*$B$8+$B$7*SQRT($B$8)*NORM.S.INV(RAND()))</f>
        <v/>
      </c>
    </row>
    <row r="132">
      <c r="A132" t="n">
        <v>121</v>
      </c>
      <c r="B132" s="16">
        <f>$B$5*EXP(($B$6-0.5*$B$7^2)*$B$8+$B$7*SQRT($B$8)*NORM.S.INV(RAND()))</f>
        <v/>
      </c>
    </row>
    <row r="133">
      <c r="A133" t="n">
        <v>122</v>
      </c>
      <c r="B133" s="16">
        <f>$B$5*EXP(($B$6-0.5*$B$7^2)*$B$8+$B$7*SQRT($B$8)*NORM.S.INV(RAND()))</f>
        <v/>
      </c>
    </row>
    <row r="134">
      <c r="A134" t="n">
        <v>123</v>
      </c>
      <c r="B134" s="16">
        <f>$B$5*EXP(($B$6-0.5*$B$7^2)*$B$8+$B$7*SQRT($B$8)*NORM.S.INV(RAND()))</f>
        <v/>
      </c>
    </row>
    <row r="135">
      <c r="A135" t="n">
        <v>124</v>
      </c>
      <c r="B135" s="16">
        <f>$B$5*EXP(($B$6-0.5*$B$7^2)*$B$8+$B$7*SQRT($B$8)*NORM.S.INV(RAND()))</f>
        <v/>
      </c>
    </row>
    <row r="136">
      <c r="A136" t="n">
        <v>125</v>
      </c>
      <c r="B136" s="16">
        <f>$B$5*EXP(($B$6-0.5*$B$7^2)*$B$8+$B$7*SQRT($B$8)*NORM.S.INV(RAND()))</f>
        <v/>
      </c>
    </row>
    <row r="137">
      <c r="A137" t="n">
        <v>126</v>
      </c>
      <c r="B137" s="16">
        <f>$B$5*EXP(($B$6-0.5*$B$7^2)*$B$8+$B$7*SQRT($B$8)*NORM.S.INV(RAND()))</f>
        <v/>
      </c>
    </row>
    <row r="138">
      <c r="A138" t="n">
        <v>127</v>
      </c>
      <c r="B138" s="16">
        <f>$B$5*EXP(($B$6-0.5*$B$7^2)*$B$8+$B$7*SQRT($B$8)*NORM.S.INV(RAND()))</f>
        <v/>
      </c>
    </row>
    <row r="139">
      <c r="A139" t="n">
        <v>128</v>
      </c>
      <c r="B139" s="16">
        <f>$B$5*EXP(($B$6-0.5*$B$7^2)*$B$8+$B$7*SQRT($B$8)*NORM.S.INV(RAND()))</f>
        <v/>
      </c>
    </row>
    <row r="140">
      <c r="A140" t="n">
        <v>129</v>
      </c>
      <c r="B140" s="16">
        <f>$B$5*EXP(($B$6-0.5*$B$7^2)*$B$8+$B$7*SQRT($B$8)*NORM.S.INV(RAND()))</f>
        <v/>
      </c>
    </row>
    <row r="141">
      <c r="A141" t="n">
        <v>130</v>
      </c>
      <c r="B141" s="16">
        <f>$B$5*EXP(($B$6-0.5*$B$7^2)*$B$8+$B$7*SQRT($B$8)*NORM.S.INV(RAND()))</f>
        <v/>
      </c>
    </row>
    <row r="142">
      <c r="A142" t="n">
        <v>131</v>
      </c>
      <c r="B142" s="16">
        <f>$B$5*EXP(($B$6-0.5*$B$7^2)*$B$8+$B$7*SQRT($B$8)*NORM.S.INV(RAND()))</f>
        <v/>
      </c>
    </row>
    <row r="143">
      <c r="A143" t="n">
        <v>132</v>
      </c>
      <c r="B143" s="16">
        <f>$B$5*EXP(($B$6-0.5*$B$7^2)*$B$8+$B$7*SQRT($B$8)*NORM.S.INV(RAND()))</f>
        <v/>
      </c>
    </row>
    <row r="144">
      <c r="A144" t="n">
        <v>133</v>
      </c>
      <c r="B144" s="16">
        <f>$B$5*EXP(($B$6-0.5*$B$7^2)*$B$8+$B$7*SQRT($B$8)*NORM.S.INV(RAND()))</f>
        <v/>
      </c>
    </row>
    <row r="145">
      <c r="A145" t="n">
        <v>134</v>
      </c>
      <c r="B145" s="16">
        <f>$B$5*EXP(($B$6-0.5*$B$7^2)*$B$8+$B$7*SQRT($B$8)*NORM.S.INV(RAND()))</f>
        <v/>
      </c>
    </row>
    <row r="146">
      <c r="A146" t="n">
        <v>135</v>
      </c>
      <c r="B146" s="16">
        <f>$B$5*EXP(($B$6-0.5*$B$7^2)*$B$8+$B$7*SQRT($B$8)*NORM.S.INV(RAND()))</f>
        <v/>
      </c>
    </row>
    <row r="147">
      <c r="A147" t="n">
        <v>136</v>
      </c>
      <c r="B147" s="16">
        <f>$B$5*EXP(($B$6-0.5*$B$7^2)*$B$8+$B$7*SQRT($B$8)*NORM.S.INV(RAND()))</f>
        <v/>
      </c>
    </row>
    <row r="148">
      <c r="A148" t="n">
        <v>137</v>
      </c>
      <c r="B148" s="16">
        <f>$B$5*EXP(($B$6-0.5*$B$7^2)*$B$8+$B$7*SQRT($B$8)*NORM.S.INV(RAND()))</f>
        <v/>
      </c>
    </row>
    <row r="149">
      <c r="A149" t="n">
        <v>138</v>
      </c>
      <c r="B149" s="16">
        <f>$B$5*EXP(($B$6-0.5*$B$7^2)*$B$8+$B$7*SQRT($B$8)*NORM.S.INV(RAND()))</f>
        <v/>
      </c>
    </row>
    <row r="150">
      <c r="A150" t="n">
        <v>139</v>
      </c>
      <c r="B150" s="16">
        <f>$B$5*EXP(($B$6-0.5*$B$7^2)*$B$8+$B$7*SQRT($B$8)*NORM.S.INV(RAND()))</f>
        <v/>
      </c>
    </row>
    <row r="151">
      <c r="A151" t="n">
        <v>140</v>
      </c>
      <c r="B151" s="16">
        <f>$B$5*EXP(($B$6-0.5*$B$7^2)*$B$8+$B$7*SQRT($B$8)*NORM.S.INV(RAND()))</f>
        <v/>
      </c>
    </row>
    <row r="152">
      <c r="A152" t="n">
        <v>141</v>
      </c>
      <c r="B152" s="16">
        <f>$B$5*EXP(($B$6-0.5*$B$7^2)*$B$8+$B$7*SQRT($B$8)*NORM.S.INV(RAND()))</f>
        <v/>
      </c>
    </row>
    <row r="153">
      <c r="A153" t="n">
        <v>142</v>
      </c>
      <c r="B153" s="16">
        <f>$B$5*EXP(($B$6-0.5*$B$7^2)*$B$8+$B$7*SQRT($B$8)*NORM.S.INV(RAND()))</f>
        <v/>
      </c>
    </row>
    <row r="154">
      <c r="A154" t="n">
        <v>143</v>
      </c>
      <c r="B154" s="16">
        <f>$B$5*EXP(($B$6-0.5*$B$7^2)*$B$8+$B$7*SQRT($B$8)*NORM.S.INV(RAND()))</f>
        <v/>
      </c>
    </row>
    <row r="155">
      <c r="A155" t="n">
        <v>144</v>
      </c>
      <c r="B155" s="16">
        <f>$B$5*EXP(($B$6-0.5*$B$7^2)*$B$8+$B$7*SQRT($B$8)*NORM.S.INV(RAND()))</f>
        <v/>
      </c>
    </row>
    <row r="156">
      <c r="A156" t="n">
        <v>145</v>
      </c>
      <c r="B156" s="16">
        <f>$B$5*EXP(($B$6-0.5*$B$7^2)*$B$8+$B$7*SQRT($B$8)*NORM.S.INV(RAND()))</f>
        <v/>
      </c>
    </row>
    <row r="157">
      <c r="A157" t="n">
        <v>146</v>
      </c>
      <c r="B157" s="16">
        <f>$B$5*EXP(($B$6-0.5*$B$7^2)*$B$8+$B$7*SQRT($B$8)*NORM.S.INV(RAND()))</f>
        <v/>
      </c>
    </row>
    <row r="158">
      <c r="A158" t="n">
        <v>147</v>
      </c>
      <c r="B158" s="16">
        <f>$B$5*EXP(($B$6-0.5*$B$7^2)*$B$8+$B$7*SQRT($B$8)*NORM.S.INV(RAND()))</f>
        <v/>
      </c>
    </row>
    <row r="159">
      <c r="A159" t="n">
        <v>148</v>
      </c>
      <c r="B159" s="16">
        <f>$B$5*EXP(($B$6-0.5*$B$7^2)*$B$8+$B$7*SQRT($B$8)*NORM.S.INV(RAND()))</f>
        <v/>
      </c>
    </row>
    <row r="160">
      <c r="A160" t="n">
        <v>149</v>
      </c>
      <c r="B160" s="16">
        <f>$B$5*EXP(($B$6-0.5*$B$7^2)*$B$8+$B$7*SQRT($B$8)*NORM.S.INV(RAND()))</f>
        <v/>
      </c>
    </row>
    <row r="161">
      <c r="A161" t="n">
        <v>150</v>
      </c>
      <c r="B161" s="16">
        <f>$B$5*EXP(($B$6-0.5*$B$7^2)*$B$8+$B$7*SQRT($B$8)*NORM.S.INV(RAND()))</f>
        <v/>
      </c>
    </row>
    <row r="162">
      <c r="A162" t="n">
        <v>151</v>
      </c>
      <c r="B162" s="16">
        <f>$B$5*EXP(($B$6-0.5*$B$7^2)*$B$8+$B$7*SQRT($B$8)*NORM.S.INV(RAND()))</f>
        <v/>
      </c>
    </row>
    <row r="163">
      <c r="A163" t="n">
        <v>152</v>
      </c>
      <c r="B163" s="16">
        <f>$B$5*EXP(($B$6-0.5*$B$7^2)*$B$8+$B$7*SQRT($B$8)*NORM.S.INV(RAND()))</f>
        <v/>
      </c>
    </row>
    <row r="164">
      <c r="A164" t="n">
        <v>153</v>
      </c>
      <c r="B164" s="16">
        <f>$B$5*EXP(($B$6-0.5*$B$7^2)*$B$8+$B$7*SQRT($B$8)*NORM.S.INV(RAND()))</f>
        <v/>
      </c>
    </row>
    <row r="165">
      <c r="A165" t="n">
        <v>154</v>
      </c>
      <c r="B165" s="16">
        <f>$B$5*EXP(($B$6-0.5*$B$7^2)*$B$8+$B$7*SQRT($B$8)*NORM.S.INV(RAND()))</f>
        <v/>
      </c>
    </row>
    <row r="166">
      <c r="A166" t="n">
        <v>155</v>
      </c>
      <c r="B166" s="16">
        <f>$B$5*EXP(($B$6-0.5*$B$7^2)*$B$8+$B$7*SQRT($B$8)*NORM.S.INV(RAND()))</f>
        <v/>
      </c>
    </row>
    <row r="167">
      <c r="A167" t="n">
        <v>156</v>
      </c>
      <c r="B167" s="16">
        <f>$B$5*EXP(($B$6-0.5*$B$7^2)*$B$8+$B$7*SQRT($B$8)*NORM.S.INV(RAND()))</f>
        <v/>
      </c>
    </row>
    <row r="168">
      <c r="A168" t="n">
        <v>157</v>
      </c>
      <c r="B168" s="16">
        <f>$B$5*EXP(($B$6-0.5*$B$7^2)*$B$8+$B$7*SQRT($B$8)*NORM.S.INV(RAND()))</f>
        <v/>
      </c>
    </row>
    <row r="169">
      <c r="A169" t="n">
        <v>158</v>
      </c>
      <c r="B169" s="16">
        <f>$B$5*EXP(($B$6-0.5*$B$7^2)*$B$8+$B$7*SQRT($B$8)*NORM.S.INV(RAND()))</f>
        <v/>
      </c>
    </row>
    <row r="170">
      <c r="A170" t="n">
        <v>159</v>
      </c>
      <c r="B170" s="16">
        <f>$B$5*EXP(($B$6-0.5*$B$7^2)*$B$8+$B$7*SQRT($B$8)*NORM.S.INV(RAND()))</f>
        <v/>
      </c>
    </row>
    <row r="171">
      <c r="A171" t="n">
        <v>160</v>
      </c>
      <c r="B171" s="16">
        <f>$B$5*EXP(($B$6-0.5*$B$7^2)*$B$8+$B$7*SQRT($B$8)*NORM.S.INV(RAND()))</f>
        <v/>
      </c>
    </row>
    <row r="172">
      <c r="A172" t="n">
        <v>161</v>
      </c>
      <c r="B172" s="16">
        <f>$B$5*EXP(($B$6-0.5*$B$7^2)*$B$8+$B$7*SQRT($B$8)*NORM.S.INV(RAND()))</f>
        <v/>
      </c>
    </row>
    <row r="173">
      <c r="A173" t="n">
        <v>162</v>
      </c>
      <c r="B173" s="16">
        <f>$B$5*EXP(($B$6-0.5*$B$7^2)*$B$8+$B$7*SQRT($B$8)*NORM.S.INV(RAND()))</f>
        <v/>
      </c>
    </row>
    <row r="174">
      <c r="A174" t="n">
        <v>163</v>
      </c>
      <c r="B174" s="16">
        <f>$B$5*EXP(($B$6-0.5*$B$7^2)*$B$8+$B$7*SQRT($B$8)*NORM.S.INV(RAND()))</f>
        <v/>
      </c>
    </row>
    <row r="175">
      <c r="A175" t="n">
        <v>164</v>
      </c>
      <c r="B175" s="16">
        <f>$B$5*EXP(($B$6-0.5*$B$7^2)*$B$8+$B$7*SQRT($B$8)*NORM.S.INV(RAND()))</f>
        <v/>
      </c>
    </row>
    <row r="176">
      <c r="A176" t="n">
        <v>165</v>
      </c>
      <c r="B176" s="16">
        <f>$B$5*EXP(($B$6-0.5*$B$7^2)*$B$8+$B$7*SQRT($B$8)*NORM.S.INV(RAND()))</f>
        <v/>
      </c>
    </row>
    <row r="177">
      <c r="A177" t="n">
        <v>166</v>
      </c>
      <c r="B177" s="16">
        <f>$B$5*EXP(($B$6-0.5*$B$7^2)*$B$8+$B$7*SQRT($B$8)*NORM.S.INV(RAND()))</f>
        <v/>
      </c>
    </row>
    <row r="178">
      <c r="A178" t="n">
        <v>167</v>
      </c>
      <c r="B178" s="16">
        <f>$B$5*EXP(($B$6-0.5*$B$7^2)*$B$8+$B$7*SQRT($B$8)*NORM.S.INV(RAND()))</f>
        <v/>
      </c>
    </row>
    <row r="179">
      <c r="A179" t="n">
        <v>168</v>
      </c>
      <c r="B179" s="16">
        <f>$B$5*EXP(($B$6-0.5*$B$7^2)*$B$8+$B$7*SQRT($B$8)*NORM.S.INV(RAND()))</f>
        <v/>
      </c>
    </row>
    <row r="180">
      <c r="A180" t="n">
        <v>169</v>
      </c>
      <c r="B180" s="16">
        <f>$B$5*EXP(($B$6-0.5*$B$7^2)*$B$8+$B$7*SQRT($B$8)*NORM.S.INV(RAND()))</f>
        <v/>
      </c>
    </row>
    <row r="181">
      <c r="A181" t="n">
        <v>170</v>
      </c>
      <c r="B181" s="16">
        <f>$B$5*EXP(($B$6-0.5*$B$7^2)*$B$8+$B$7*SQRT($B$8)*NORM.S.INV(RAND()))</f>
        <v/>
      </c>
    </row>
    <row r="182">
      <c r="A182" t="n">
        <v>171</v>
      </c>
      <c r="B182" s="16">
        <f>$B$5*EXP(($B$6-0.5*$B$7^2)*$B$8+$B$7*SQRT($B$8)*NORM.S.INV(RAND()))</f>
        <v/>
      </c>
    </row>
    <row r="183">
      <c r="A183" t="n">
        <v>172</v>
      </c>
      <c r="B183" s="16">
        <f>$B$5*EXP(($B$6-0.5*$B$7^2)*$B$8+$B$7*SQRT($B$8)*NORM.S.INV(RAND()))</f>
        <v/>
      </c>
    </row>
    <row r="184">
      <c r="A184" t="n">
        <v>173</v>
      </c>
      <c r="B184" s="16">
        <f>$B$5*EXP(($B$6-0.5*$B$7^2)*$B$8+$B$7*SQRT($B$8)*NORM.S.INV(RAND()))</f>
        <v/>
      </c>
    </row>
    <row r="185">
      <c r="A185" t="n">
        <v>174</v>
      </c>
      <c r="B185" s="16">
        <f>$B$5*EXP(($B$6-0.5*$B$7^2)*$B$8+$B$7*SQRT($B$8)*NORM.S.INV(RAND()))</f>
        <v/>
      </c>
    </row>
    <row r="186">
      <c r="A186" t="n">
        <v>175</v>
      </c>
      <c r="B186" s="16">
        <f>$B$5*EXP(($B$6-0.5*$B$7^2)*$B$8+$B$7*SQRT($B$8)*NORM.S.INV(RAND()))</f>
        <v/>
      </c>
    </row>
    <row r="187">
      <c r="A187" t="n">
        <v>176</v>
      </c>
      <c r="B187" s="16">
        <f>$B$5*EXP(($B$6-0.5*$B$7^2)*$B$8+$B$7*SQRT($B$8)*NORM.S.INV(RAND()))</f>
        <v/>
      </c>
    </row>
    <row r="188">
      <c r="A188" t="n">
        <v>177</v>
      </c>
      <c r="B188" s="16">
        <f>$B$5*EXP(($B$6-0.5*$B$7^2)*$B$8+$B$7*SQRT($B$8)*NORM.S.INV(RAND()))</f>
        <v/>
      </c>
    </row>
    <row r="189">
      <c r="A189" t="n">
        <v>178</v>
      </c>
      <c r="B189" s="16">
        <f>$B$5*EXP(($B$6-0.5*$B$7^2)*$B$8+$B$7*SQRT($B$8)*NORM.S.INV(RAND()))</f>
        <v/>
      </c>
    </row>
    <row r="190">
      <c r="A190" t="n">
        <v>179</v>
      </c>
      <c r="B190" s="16">
        <f>$B$5*EXP(($B$6-0.5*$B$7^2)*$B$8+$B$7*SQRT($B$8)*NORM.S.INV(RAND()))</f>
        <v/>
      </c>
    </row>
    <row r="191">
      <c r="A191" t="n">
        <v>180</v>
      </c>
      <c r="B191" s="16">
        <f>$B$5*EXP(($B$6-0.5*$B$7^2)*$B$8+$B$7*SQRT($B$8)*NORM.S.INV(RAND()))</f>
        <v/>
      </c>
    </row>
    <row r="192">
      <c r="A192" t="n">
        <v>181</v>
      </c>
      <c r="B192" s="16">
        <f>$B$5*EXP(($B$6-0.5*$B$7^2)*$B$8+$B$7*SQRT($B$8)*NORM.S.INV(RAND()))</f>
        <v/>
      </c>
    </row>
    <row r="193">
      <c r="A193" t="n">
        <v>182</v>
      </c>
      <c r="B193" s="16">
        <f>$B$5*EXP(($B$6-0.5*$B$7^2)*$B$8+$B$7*SQRT($B$8)*NORM.S.INV(RAND()))</f>
        <v/>
      </c>
    </row>
    <row r="194">
      <c r="A194" t="n">
        <v>183</v>
      </c>
      <c r="B194" s="16">
        <f>$B$5*EXP(($B$6-0.5*$B$7^2)*$B$8+$B$7*SQRT($B$8)*NORM.S.INV(RAND()))</f>
        <v/>
      </c>
    </row>
    <row r="195">
      <c r="A195" t="n">
        <v>184</v>
      </c>
      <c r="B195" s="16">
        <f>$B$5*EXP(($B$6-0.5*$B$7^2)*$B$8+$B$7*SQRT($B$8)*NORM.S.INV(RAND()))</f>
        <v/>
      </c>
    </row>
    <row r="196">
      <c r="A196" t="n">
        <v>185</v>
      </c>
      <c r="B196" s="16">
        <f>$B$5*EXP(($B$6-0.5*$B$7^2)*$B$8+$B$7*SQRT($B$8)*NORM.S.INV(RAND()))</f>
        <v/>
      </c>
    </row>
    <row r="197">
      <c r="A197" t="n">
        <v>186</v>
      </c>
      <c r="B197" s="16">
        <f>$B$5*EXP(($B$6-0.5*$B$7^2)*$B$8+$B$7*SQRT($B$8)*NORM.S.INV(RAND()))</f>
        <v/>
      </c>
    </row>
    <row r="198">
      <c r="A198" t="n">
        <v>187</v>
      </c>
      <c r="B198" s="16">
        <f>$B$5*EXP(($B$6-0.5*$B$7^2)*$B$8+$B$7*SQRT($B$8)*NORM.S.INV(RAND()))</f>
        <v/>
      </c>
    </row>
    <row r="199">
      <c r="A199" t="n">
        <v>188</v>
      </c>
      <c r="B199" s="16">
        <f>$B$5*EXP(($B$6-0.5*$B$7^2)*$B$8+$B$7*SQRT($B$8)*NORM.S.INV(RAND()))</f>
        <v/>
      </c>
    </row>
    <row r="200">
      <c r="A200" t="n">
        <v>189</v>
      </c>
      <c r="B200" s="16">
        <f>$B$5*EXP(($B$6-0.5*$B$7^2)*$B$8+$B$7*SQRT($B$8)*NORM.S.INV(RAND()))</f>
        <v/>
      </c>
    </row>
    <row r="201">
      <c r="A201" t="n">
        <v>190</v>
      </c>
      <c r="B201" s="16">
        <f>$B$5*EXP(($B$6-0.5*$B$7^2)*$B$8+$B$7*SQRT($B$8)*NORM.S.INV(RAND()))</f>
        <v/>
      </c>
    </row>
    <row r="202">
      <c r="A202" t="n">
        <v>191</v>
      </c>
      <c r="B202" s="16">
        <f>$B$5*EXP(($B$6-0.5*$B$7^2)*$B$8+$B$7*SQRT($B$8)*NORM.S.INV(RAND()))</f>
        <v/>
      </c>
    </row>
    <row r="203">
      <c r="A203" t="n">
        <v>192</v>
      </c>
      <c r="B203" s="16">
        <f>$B$5*EXP(($B$6-0.5*$B$7^2)*$B$8+$B$7*SQRT($B$8)*NORM.S.INV(RAND()))</f>
        <v/>
      </c>
    </row>
    <row r="204">
      <c r="A204" t="n">
        <v>193</v>
      </c>
      <c r="B204" s="16">
        <f>$B$5*EXP(($B$6-0.5*$B$7^2)*$B$8+$B$7*SQRT($B$8)*NORM.S.INV(RAND()))</f>
        <v/>
      </c>
    </row>
    <row r="205">
      <c r="A205" t="n">
        <v>194</v>
      </c>
      <c r="B205" s="16">
        <f>$B$5*EXP(($B$6-0.5*$B$7^2)*$B$8+$B$7*SQRT($B$8)*NORM.S.INV(RAND()))</f>
        <v/>
      </c>
    </row>
    <row r="206">
      <c r="A206" t="n">
        <v>195</v>
      </c>
      <c r="B206" s="16">
        <f>$B$5*EXP(($B$6-0.5*$B$7^2)*$B$8+$B$7*SQRT($B$8)*NORM.S.INV(RAND()))</f>
        <v/>
      </c>
    </row>
    <row r="207">
      <c r="A207" t="n">
        <v>196</v>
      </c>
      <c r="B207" s="16">
        <f>$B$5*EXP(($B$6-0.5*$B$7^2)*$B$8+$B$7*SQRT($B$8)*NORM.S.INV(RAND()))</f>
        <v/>
      </c>
    </row>
    <row r="208">
      <c r="A208" t="n">
        <v>197</v>
      </c>
      <c r="B208" s="16">
        <f>$B$5*EXP(($B$6-0.5*$B$7^2)*$B$8+$B$7*SQRT($B$8)*NORM.S.INV(RAND()))</f>
        <v/>
      </c>
    </row>
    <row r="209">
      <c r="A209" t="n">
        <v>198</v>
      </c>
      <c r="B209" s="16">
        <f>$B$5*EXP(($B$6-0.5*$B$7^2)*$B$8+$B$7*SQRT($B$8)*NORM.S.INV(RAND()))</f>
        <v/>
      </c>
    </row>
    <row r="210">
      <c r="A210" t="n">
        <v>199</v>
      </c>
      <c r="B210" s="16">
        <f>$B$5*EXP(($B$6-0.5*$B$7^2)*$B$8+$B$7*SQRT($B$8)*NORM.S.INV(RAND()))</f>
        <v/>
      </c>
    </row>
    <row r="211">
      <c r="A211" t="n">
        <v>200</v>
      </c>
      <c r="B211" s="16">
        <f>$B$5*EXP(($B$6-0.5*$B$7^2)*$B$8+$B$7*SQRT($B$8)*NORM.S.INV(RAND()))</f>
        <v/>
      </c>
    </row>
    <row r="213">
      <c r="A213" s="2" t="inlineStr">
        <is>
          <t>10th percentile</t>
        </is>
      </c>
      <c r="B213" s="16">
        <f>PERCENTILE(B12:B211,0.1)</f>
        <v/>
      </c>
    </row>
    <row r="214">
      <c r="A214" s="2" t="inlineStr">
        <is>
          <t>50th percentile (median)</t>
        </is>
      </c>
      <c r="B214" s="16">
        <f>PERCENTILE(B12:B211,0.5)</f>
        <v/>
      </c>
    </row>
    <row r="215">
      <c r="A215" s="2" t="inlineStr">
        <is>
          <t>90th percentile</t>
        </is>
      </c>
      <c r="B215" s="16">
        <f>PERCENTILE(B12:B211,0.9)</f>
        <v/>
      </c>
    </row>
    <row r="216">
      <c r="A216" s="2" t="inlineStr">
        <is>
          <t>Chance of losing money</t>
        </is>
      </c>
      <c r="B216" s="8">
        <f>COUNTIF(B12:B211,"&lt;"&amp;$B$5)/200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2026-08-14T23:00:51Z</dcterms:created>
  <dcterms:modified xsi:type="dcterms:W3CDTF">2026-08-14T23:00:51Z</dcterms:modified>
</cp:coreProperties>
</file>