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Level 4 — Advanced" sheetId="2" state="visible" r:id="rId2"/>
    <sheet name="Level 3 — Proficient" sheetId="3" state="visible" r:id="rId3"/>
    <sheet name="Level 2 — Developing" sheetId="4" state="visible" r:id="rId4"/>
    <sheet name="Level 1 — Beginning" sheetId="5" state="visible" r:id="rId5"/>
    <sheet name="What Changed" sheetId="6" state="visible" r:id="rId6"/>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0.0;0.0"/>
  </numFmts>
  <fonts count="11">
    <font>
      <name val="Calibri"/>
      <family val="2"/>
      <color theme="1"/>
      <sz val="11"/>
      <scheme val="minor"/>
    </font>
    <font>
      <b val="1"/>
      <color rgb="000E406A"/>
      <sz val="16"/>
    </font>
    <font>
      <b val="1"/>
    </font>
    <font>
      <b val="1"/>
      <color rgb="002C6E49"/>
      <sz val="15"/>
    </font>
    <font>
      <i val="1"/>
      <color rgb="0055504A"/>
    </font>
    <font>
      <b val="1"/>
      <color rgb="000E406A"/>
      <sz val="12"/>
    </font>
    <font>
      <b val="1"/>
      <color rgb="00FFFFFF"/>
    </font>
    <font>
      <b val="1"/>
      <color rgb="008A5A0B"/>
      <sz val="15"/>
    </font>
    <font>
      <color rgb="008A5A0B"/>
    </font>
    <font>
      <b val="1"/>
      <color rgb="00A33A2A"/>
      <sz val="15"/>
    </font>
    <font>
      <color rgb="00A33A2A"/>
    </font>
  </fonts>
  <fills count="10">
    <fill>
      <patternFill/>
    </fill>
    <fill>
      <patternFill patternType="gray125"/>
    </fill>
    <fill>
      <patternFill patternType="solid">
        <fgColor rgb="00D9E8F5"/>
      </patternFill>
    </fill>
    <fill>
      <patternFill patternType="solid">
        <fgColor rgb="00DDEBD3"/>
      </patternFill>
    </fill>
    <fill>
      <patternFill patternType="solid">
        <fgColor rgb="00FBE7C6"/>
      </patternFill>
    </fill>
    <fill>
      <patternFill patternType="solid">
        <fgColor rgb="00E7DDF2"/>
      </patternFill>
    </fill>
    <fill>
      <patternFill patternType="solid">
        <fgColor rgb="00F7D6D0"/>
      </patternFill>
    </fill>
    <fill>
      <patternFill patternType="solid">
        <fgColor rgb="00E8E8E4"/>
      </patternFill>
    </fill>
    <fill>
      <patternFill patternType="solid">
        <fgColor rgb="000E406A"/>
      </patternFill>
    </fill>
    <fill>
      <patternFill patternType="solid">
        <fgColor rgb="00F3EFE7"/>
      </patternFill>
    </fill>
  </fills>
  <borders count="1">
    <border>
      <left/>
      <right/>
      <top/>
      <bottom/>
      <diagonal/>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6" fillId="8" borderId="0" applyAlignment="1" pivotButton="0" quotePrefix="0" xfId="0">
      <alignment vertical="center" wrapText="1"/>
    </xf>
    <xf numFmtId="0" fontId="5" fillId="0" borderId="0" pivotButton="0" quotePrefix="0" xfId="0"/>
    <xf numFmtId="0" fontId="0" fillId="3" borderId="0" pivotButton="0" quotePrefix="0" xfId="0"/>
    <xf numFmtId="0" fontId="0" fillId="2" borderId="0" pivotButton="0" quotePrefix="0" xfId="0"/>
    <xf numFmtId="0" fontId="0" fillId="9"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164" fontId="0" fillId="0" borderId="0" pivotButton="0" quotePrefix="0" xfId="0"/>
    <xf numFmtId="1" fontId="0" fillId="0" borderId="0" pivotButton="0" quotePrefix="0" xfId="0"/>
    <xf numFmtId="165" fontId="0" fillId="0" borderId="0" pivotButton="0" quotePrefix="0" xfId="0"/>
    <xf numFmtId="166" fontId="0" fillId="0" borderId="0" pivotButton="0" quotePrefix="0" xfId="0"/>
    <xf numFmtId="0" fontId="7" fillId="0" borderId="0" pivotButton="0" quotePrefix="0" xfId="0"/>
    <xf numFmtId="0" fontId="8" fillId="0" borderId="0" applyAlignment="1" pivotButton="0" quotePrefix="0" xfId="0">
      <alignment vertical="top" wrapText="1"/>
    </xf>
    <xf numFmtId="0" fontId="9" fillId="0" borderId="0" pivotButton="0" quotePrefix="0" xfId="0"/>
    <xf numFmtId="0" fontId="1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hartSpace xmlns:a="http://schemas.openxmlformats.org/drawingml/2006/main" xmlns="http://schemas.openxmlformats.org/drawingml/2006/chart">
  <chart>
    <title>
      <tx>
        <rich>
          <a:bodyPr/>
          <a:p>
            <a:pPr>
              <a:defRPr/>
            </a:pPr>
            <a:r>
              <a:t>Which days do I blow past my calorie target — and are they my restaurant days?</a:t>
            </a:r>
          </a:p>
        </rich>
      </tx>
    </title>
    <plotArea>
      <barChart>
        <barDir val="col"/>
        <grouping val="clustered"/>
        <ser>
          <idx val="0"/>
          <order val="0"/>
          <tx>
            <strRef>
              <f>'Level 4 — Advanced'!B46</f>
            </strRef>
          </tx>
          <spPr>
            <a:ln>
              <a:prstDash val="solid"/>
            </a:ln>
          </spPr>
          <cat>
            <numRef>
              <f>'Level 4 — Advanced'!$A$47:$A$60</f>
            </numRef>
          </cat>
          <val>
            <numRef>
              <f>'Level 4 — Advanced'!$B$47:$B$60</f>
            </numRef>
          </val>
        </ser>
        <gapWidth val="150"/>
        <axId val="10"/>
        <axId val="100"/>
      </barChart>
      <catAx>
        <axId val="10"/>
        <scaling>
          <orientation val="minMax"/>
        </scaling>
        <axPos val="l"/>
        <title>
          <tx>
            <rich>
              <a:bodyPr/>
              <a:p>
                <a:pPr>
                  <a:defRPr/>
                </a:pPr>
                <a:r>
                  <a:t>Day</a:t>
                </a:r>
              </a:p>
            </rich>
          </tx>
        </title>
        <majorTickMark val="none"/>
        <minorTickMark val="none"/>
        <crossAx val="100"/>
        <lblOffset val="100"/>
      </catAx>
      <valAx>
        <axId val="100"/>
        <scaling>
          <orientation val="minMax"/>
        </scaling>
        <axPos val="l"/>
        <majorGridlines/>
        <title>
          <tx>
            <rich>
              <a:bodyPr/>
              <a:p>
                <a:pPr>
                  <a:defRPr/>
                </a:pPr>
                <a:r>
                  <a:t>Calories</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Calories by day</a:t>
            </a:r>
          </a:p>
        </rich>
      </tx>
    </title>
    <plotArea>
      <barChart>
        <barDir val="col"/>
        <grouping val="clustered"/>
        <ser>
          <idx val="0"/>
          <order val="0"/>
          <tx>
            <strRef>
              <f>'Level 3 — Proficient'!B29</f>
            </strRef>
          </tx>
          <spPr>
            <a:ln>
              <a:prstDash val="solid"/>
            </a:ln>
          </spPr>
          <cat>
            <numRef>
              <f>'Level 3 — Proficient'!$A$30:$A$34</f>
            </numRef>
          </cat>
          <val>
            <numRef>
              <f>'Level 3 — Proficient'!$B$30:$B$34</f>
            </numRef>
          </val>
        </ser>
        <gapWidth val="150"/>
        <axId val="10"/>
        <axId val="100"/>
      </barChart>
      <catAx>
        <axId val="10"/>
        <scaling>
          <orientation val="minMax"/>
        </scaling>
        <axPos val="l"/>
        <title>
          <tx>
            <rich>
              <a:bodyPr/>
              <a:p>
                <a:pPr>
                  <a:defRPr/>
                </a:pPr>
                <a:r>
                  <a:t>Day</a:t>
                </a:r>
              </a:p>
            </rich>
          </tx>
        </title>
        <majorTickMark val="none"/>
        <minorTickMark val="none"/>
        <crossAx val="100"/>
        <lblOffset val="100"/>
      </catAx>
      <valAx>
        <axId val="100"/>
        <scaling>
          <orientation val="minMax"/>
        </scaling>
        <axPos val="l"/>
        <majorGridlines/>
        <title>
          <tx>
            <rich>
              <a:bodyPr/>
              <a:p>
                <a:pPr>
                  <a:defRPr/>
                </a:pPr>
                <a:r>
                  <a:t>Calories</a:t>
                </a:r>
              </a:p>
            </rich>
          </tx>
        </title>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Chart1</a:t>
            </a:r>
          </a:p>
        </rich>
      </tx>
    </title>
    <plotArea>
      <lineChart>
        <grouping val="standard"/>
        <ser>
          <idx val="0"/>
          <order val="0"/>
          <tx>
            <strRef>
              <f>'Level 2 — Developing'!D13</f>
            </strRef>
          </tx>
          <spPr>
            <a:ln>
              <a:prstDash val="solid"/>
            </a:ln>
          </spPr>
          <marker>
            <symbol val="none"/>
            <spPr>
              <a:ln>
                <a:prstDash val="solid"/>
              </a:ln>
            </spPr>
          </marker>
          <val>
            <numRef>
              <f>'Level 2 — Developing'!$D$14:$D$17</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_rels/drawing3.xml.rels><Relationships xmlns="http://schemas.openxmlformats.org/package/2006/relationships"><Relationship Type="http://schemas.openxmlformats.org/officeDocument/2006/relationships/chart" Target="/xl/charts/chart3.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10</col>
      <colOff>0</colOff>
      <row>45</row>
      <rowOff>0</rowOff>
    </from>
    <ext cx="576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28</row>
      <rowOff>0</rowOff>
    </from>
    <ext cx="5040000" cy="25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13</row>
      <rowOff>0</rowOff>
    </from>
    <ext cx="5040000" cy="252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drawing" Target="/xl/drawings/drawing3.xml" Id="rId1" /></Relationships>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30" customWidth="1" min="1" max="1"/>
    <col width="96" customWidth="1" min="2" max="2"/>
  </cols>
  <sheetData>
    <row r="1">
      <c r="A1" s="1" t="inlineStr">
        <is>
          <t>Cornerstone I — What Each Level Looks Like</t>
        </is>
      </c>
    </row>
    <row r="3" ht="26" customHeight="1">
      <c r="A3" s="2" t="inlineStr">
        <is>
          <t>What this is</t>
        </is>
      </c>
      <c r="B3" s="3" t="inlineStr">
        <is>
          <t>The same food &amp; macro tracker, built four times. Level 4 is what excellence looks like; Level 1 is what gets handed in when someone runs out of time. Open them side by side.</t>
        </is>
      </c>
    </row>
    <row r="4" ht="26" customHeight="1">
      <c r="A4" s="2" t="inlineStr">
        <is>
          <t>How to use it</t>
        </is>
      </c>
      <c r="B4" s="3" t="inlineStr">
        <is>
          <t>Read this BEFORE you start building. Then open 'What Changed' — it names the exact difference between each pair of levels.</t>
        </is>
      </c>
    </row>
    <row r="5" ht="26" customHeight="1">
      <c r="A5" s="2" t="inlineStr">
        <is>
          <t>The fastest way to lose points</t>
        </is>
      </c>
      <c r="B5" s="3" t="inlineStr">
        <is>
          <t>Typing in a macro number instead of sourcing it. Every level below 3 fails on that alone, no matter how good the dashboard looks.</t>
        </is>
      </c>
    </row>
    <row r="6" ht="39" customHeight="1">
      <c r="A6" s="2" t="inlineStr">
        <is>
          <t>Task</t>
        </is>
      </c>
      <c r="B6" s="3" t="inlineStr">
        <is>
          <t>Track 14 days of your own eating. For every food, source its macros, look them up in a reference table, and aggregate the log into a dashboard that answers one question you chose about your own eating.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3"/>
  <sheetViews>
    <sheetView workbookViewId="0">
      <selection activeCell="A1" sqref="A1"/>
    </sheetView>
  </sheetViews>
  <sheetFormatPr baseColWidth="8" defaultRowHeight="15"/>
  <cols>
    <col width="34" customWidth="1" min="1" max="1"/>
    <col width="14" customWidth="1" min="2" max="2"/>
    <col width="12" customWidth="1" min="3" max="3"/>
    <col width="15" customWidth="1" min="4" max="4"/>
    <col width="14" customWidth="1" min="5" max="5"/>
    <col width="12" customWidth="1" min="6" max="6"/>
    <col width="24" customWidth="1" min="7" max="7"/>
    <col width="3" customWidth="1" min="8" max="8"/>
    <col width="12" customWidth="1" min="9" max="9"/>
    <col width="3" customWidth="1" min="10" max="10"/>
    <col width="30" customWidth="1" min="11" max="11"/>
    <col width="16" customWidth="1" min="12" max="12"/>
  </cols>
  <sheetData>
    <row r="1">
      <c r="A1" s="4" t="inlineStr">
        <is>
          <t>LEVEL 4 — Advanced</t>
        </is>
      </c>
    </row>
    <row r="2">
      <c r="A2" s="5" t="inlineStr">
        <is>
          <t>Publishable. Someone else could pick this up and use it.</t>
        </is>
      </c>
    </row>
    <row r="3">
      <c r="A3" s="6" t="inlineStr">
        <is>
          <t>Task: Track 14 days of your own eating. For every food, source its macros, look them up in a reference table, and aggregate the log into a dashboard that answers one question you chose about your own eating.</t>
        </is>
      </c>
    </row>
    <row r="5">
      <c r="A5" s="7" t="inlineStr">
        <is>
          <t>Food</t>
        </is>
      </c>
      <c r="B5" s="7" t="inlineStr">
        <is>
          <t>Serving</t>
        </is>
      </c>
      <c r="C5" s="7" t="inlineStr">
        <is>
          <t>Calories</t>
        </is>
      </c>
      <c r="D5" s="7" t="inlineStr">
        <is>
          <t>Protein (g)</t>
        </is>
      </c>
      <c r="E5" s="7" t="inlineStr">
        <is>
          <t>Carbs (g)</t>
        </is>
      </c>
      <c r="F5" s="7" t="inlineStr">
        <is>
          <t>Fat (g)</t>
        </is>
      </c>
      <c r="G5" s="7" t="inlineStr">
        <is>
          <t>Source</t>
        </is>
      </c>
      <c r="I5" s="3" t="inlineStr">
        <is>
          <t>Every macro here is sourced: the Source column plus the colour code says where the number came from.</t>
        </is>
      </c>
      <c r="K5" s="8" t="inlineStr">
        <is>
          <t>SOURCE KEY — colour = where the number came from</t>
        </is>
      </c>
    </row>
    <row r="6">
      <c r="A6" t="inlineStr">
        <is>
          <t>Egg, large</t>
        </is>
      </c>
      <c r="B6" t="inlineStr">
        <is>
          <t>1 egg</t>
        </is>
      </c>
      <c r="C6" t="n">
        <v>72</v>
      </c>
      <c r="D6" t="n">
        <v>6.3</v>
      </c>
      <c r="E6" t="n">
        <v>0.4</v>
      </c>
      <c r="F6" t="n">
        <v>4.8</v>
      </c>
      <c r="G6" s="9" t="inlineStr">
        <is>
          <t>USDA FoodData Central</t>
        </is>
      </c>
      <c r="K6" s="10" t="inlineStr">
        <is>
          <t>MyFitnessPal</t>
        </is>
      </c>
    </row>
    <row r="7">
      <c r="A7" s="11" t="inlineStr">
        <is>
          <t>White rice, cooked</t>
        </is>
      </c>
      <c r="B7" s="11" t="inlineStr">
        <is>
          <t>1 cup</t>
        </is>
      </c>
      <c r="C7" s="11" t="n">
        <v>205</v>
      </c>
      <c r="D7" s="11" t="n">
        <v>4.3</v>
      </c>
      <c r="E7" s="11" t="n">
        <v>44.5</v>
      </c>
      <c r="F7" s="11" t="n">
        <v>0.4</v>
      </c>
      <c r="G7" s="9" t="inlineStr">
        <is>
          <t>USDA FoodData Central</t>
        </is>
      </c>
      <c r="K7" s="9" t="inlineStr">
        <is>
          <t>USDA FoodData Central</t>
        </is>
      </c>
    </row>
    <row r="8">
      <c r="A8" t="inlineStr">
        <is>
          <t>Chicken breast, grilled</t>
        </is>
      </c>
      <c r="B8" t="inlineStr">
        <is>
          <t>100 g</t>
        </is>
      </c>
      <c r="C8" t="n">
        <v>165</v>
      </c>
      <c r="D8" t="n">
        <v>31</v>
      </c>
      <c r="E8" t="n">
        <v>0</v>
      </c>
      <c r="F8" t="n">
        <v>3.6</v>
      </c>
      <c r="G8" s="9" t="inlineStr">
        <is>
          <t>USDA FoodData Central</t>
        </is>
      </c>
      <c r="K8" s="12" t="inlineStr">
        <is>
          <t>Open Food Facts</t>
        </is>
      </c>
    </row>
    <row r="9">
      <c r="A9" s="11" t="inlineStr">
        <is>
          <t>Black beans, cooked</t>
        </is>
      </c>
      <c r="B9" s="11" t="inlineStr">
        <is>
          <t>1 cup</t>
        </is>
      </c>
      <c r="C9" s="11" t="n">
        <v>227</v>
      </c>
      <c r="D9" s="11" t="n">
        <v>15.2</v>
      </c>
      <c r="E9" s="11" t="n">
        <v>40.8</v>
      </c>
      <c r="F9" s="11" t="n">
        <v>0.9</v>
      </c>
      <c r="G9" s="9" t="inlineStr">
        <is>
          <t>USDA FoodData Central</t>
        </is>
      </c>
      <c r="K9" s="13" t="inlineStr">
        <is>
          <t>Manufacturer label</t>
        </is>
      </c>
    </row>
    <row r="10">
      <c r="A10" t="inlineStr">
        <is>
          <t>Cafecito con azucar (Cuban coffee, sweet)</t>
        </is>
      </c>
      <c r="B10" t="inlineStr">
        <is>
          <t>1 cup (8 oz)</t>
        </is>
      </c>
      <c r="C10" t="n">
        <v>40</v>
      </c>
      <c r="D10" t="n">
        <v>0.5</v>
      </c>
      <c r="E10" t="n">
        <v>8</v>
      </c>
      <c r="F10" t="n">
        <v>1</v>
      </c>
      <c r="G10" s="10" t="inlineStr">
        <is>
          <t>MyFitnessPal</t>
        </is>
      </c>
      <c r="K10" s="14" t="inlineStr">
        <is>
          <t>Restaurant nutrition</t>
        </is>
      </c>
    </row>
    <row r="11">
      <c r="A11" s="11" t="inlineStr">
        <is>
          <t>Plantain, fried (maduros)</t>
        </is>
      </c>
      <c r="B11" s="11" t="inlineStr">
        <is>
          <t>1 cup</t>
        </is>
      </c>
      <c r="C11" s="11" t="n">
        <v>250</v>
      </c>
      <c r="D11" s="11" t="n">
        <v>1.4</v>
      </c>
      <c r="E11" s="11" t="n">
        <v>47</v>
      </c>
      <c r="F11" s="11" t="n">
        <v>8.6</v>
      </c>
      <c r="G11" s="14" t="inlineStr">
        <is>
          <t>Restaurant nutrition</t>
        </is>
      </c>
      <c r="K11" s="15" t="inlineStr">
        <is>
          <t>Estimate / other</t>
        </is>
      </c>
    </row>
    <row r="12">
      <c r="A12" t="inlineStr">
        <is>
          <t>Ropa vieja (shredded beef)</t>
        </is>
      </c>
      <c r="B12" t="inlineStr">
        <is>
          <t>1 cup</t>
        </is>
      </c>
      <c r="C12" t="n">
        <v>285</v>
      </c>
      <c r="D12" t="n">
        <v>26</v>
      </c>
      <c r="E12" t="n">
        <v>8</v>
      </c>
      <c r="F12" t="n">
        <v>17</v>
      </c>
      <c r="G12" s="14" t="inlineStr">
        <is>
          <t>Restaurant nutrition</t>
        </is>
      </c>
    </row>
    <row r="13">
      <c r="A13" s="11" t="inlineStr">
        <is>
          <t>Yuca con mojo</t>
        </is>
      </c>
      <c r="B13" s="11" t="inlineStr">
        <is>
          <t>1 cup</t>
        </is>
      </c>
      <c r="C13" s="11" t="n">
        <v>220</v>
      </c>
      <c r="D13" s="11" t="n">
        <v>1.6</v>
      </c>
      <c r="E13" s="11" t="n">
        <v>52</v>
      </c>
      <c r="F13" s="11" t="n">
        <v>0.3</v>
      </c>
      <c r="G13" s="14" t="inlineStr">
        <is>
          <t>Restaurant nutrition</t>
        </is>
      </c>
      <c r="K13" s="3" t="inlineStr">
        <is>
          <t>Note which colours dominate the log: the restaurant rows are the ones whose numbers you cannot verify.</t>
        </is>
      </c>
    </row>
    <row r="14">
      <c r="A14" t="inlineStr">
        <is>
          <t>Avocado</t>
        </is>
      </c>
      <c r="B14" t="inlineStr">
        <is>
          <t>1/2 fruit</t>
        </is>
      </c>
      <c r="C14" t="n">
        <v>160</v>
      </c>
      <c r="D14" t="n">
        <v>2</v>
      </c>
      <c r="E14" t="n">
        <v>8.5</v>
      </c>
      <c r="F14" t="n">
        <v>14.7</v>
      </c>
      <c r="G14" s="9" t="inlineStr">
        <is>
          <t>USDA FoodData Central</t>
        </is>
      </c>
    </row>
    <row r="15">
      <c r="A15" s="11" t="inlineStr">
        <is>
          <t>Croqueta (ham)</t>
        </is>
      </c>
      <c r="B15" s="11" t="inlineStr">
        <is>
          <t>1 piece</t>
        </is>
      </c>
      <c r="C15" s="11" t="n">
        <v>130</v>
      </c>
      <c r="D15" s="11" t="n">
        <v>4</v>
      </c>
      <c r="E15" s="11" t="n">
        <v>10</v>
      </c>
      <c r="F15" s="11" t="n">
        <v>8</v>
      </c>
      <c r="G15" s="12" t="inlineStr">
        <is>
          <t>Open Food Facts</t>
        </is>
      </c>
    </row>
    <row r="16">
      <c r="A16" t="inlineStr">
        <is>
          <t>Whole wheat bread</t>
        </is>
      </c>
      <c r="B16" t="inlineStr">
        <is>
          <t>1 slice</t>
        </is>
      </c>
      <c r="C16" t="n">
        <v>81</v>
      </c>
      <c r="D16" t="n">
        <v>4</v>
      </c>
      <c r="E16" t="n">
        <v>13.8</v>
      </c>
      <c r="F16" t="n">
        <v>1.1</v>
      </c>
      <c r="G16" s="13" t="inlineStr">
        <is>
          <t>Manufacturer label</t>
        </is>
      </c>
    </row>
    <row r="17">
      <c r="A17" s="11" t="inlineStr">
        <is>
          <t>Greek yogurt, plain</t>
        </is>
      </c>
      <c r="B17" s="11" t="inlineStr">
        <is>
          <t>1 cup (170 g)</t>
        </is>
      </c>
      <c r="C17" s="11" t="n">
        <v>100</v>
      </c>
      <c r="D17" s="11" t="n">
        <v>17</v>
      </c>
      <c r="E17" s="11" t="n">
        <v>6</v>
      </c>
      <c r="F17" s="11" t="n">
        <v>0.7</v>
      </c>
      <c r="G17" s="12" t="inlineStr">
        <is>
          <t>Open Food Facts</t>
        </is>
      </c>
    </row>
    <row r="18">
      <c r="A18" t="inlineStr">
        <is>
          <t>Banana</t>
        </is>
      </c>
      <c r="B18" t="inlineStr">
        <is>
          <t>1 medium</t>
        </is>
      </c>
      <c r="C18" t="n">
        <v>105</v>
      </c>
      <c r="D18" t="n">
        <v>1.3</v>
      </c>
      <c r="E18" t="n">
        <v>27</v>
      </c>
      <c r="F18" t="n">
        <v>0.4</v>
      </c>
      <c r="G18" s="9" t="inlineStr">
        <is>
          <t>USDA FoodData Central</t>
        </is>
      </c>
    </row>
    <row r="19">
      <c r="A19" s="11" t="inlineStr">
        <is>
          <t>Pizza slice, cheese</t>
        </is>
      </c>
      <c r="B19" s="11" t="inlineStr">
        <is>
          <t>1 slice</t>
        </is>
      </c>
      <c r="C19" s="11" t="n">
        <v>285</v>
      </c>
      <c r="D19" s="11" t="n">
        <v>12.2</v>
      </c>
      <c r="E19" s="11" t="n">
        <v>35.7</v>
      </c>
      <c r="F19" s="11" t="n">
        <v>10.4</v>
      </c>
      <c r="G19" s="14" t="inlineStr">
        <is>
          <t>Restaurant nutrition</t>
        </is>
      </c>
    </row>
    <row r="20">
      <c r="A20" t="inlineStr">
        <is>
          <t>Cafe con leche</t>
        </is>
      </c>
      <c r="B20" t="inlineStr">
        <is>
          <t>1 cup (8 oz)</t>
        </is>
      </c>
      <c r="C20" t="n">
        <v>110</v>
      </c>
      <c r="D20" t="n">
        <v>5</v>
      </c>
      <c r="E20" t="n">
        <v>11</v>
      </c>
      <c r="F20" t="n">
        <v>5</v>
      </c>
      <c r="G20" s="15" t="inlineStr">
        <is>
          <t>Estimate / other</t>
        </is>
      </c>
    </row>
    <row r="22">
      <c r="A22" s="8" t="inlineStr">
        <is>
          <t>DAILY LOG — 14 days</t>
        </is>
      </c>
    </row>
    <row r="23">
      <c r="A23" s="7" t="inlineStr">
        <is>
          <t>Date</t>
        </is>
      </c>
      <c r="B23" s="7" t="inlineStr">
        <is>
          <t>Meal</t>
        </is>
      </c>
      <c r="C23" s="7" t="inlineStr">
        <is>
          <t>Food</t>
        </is>
      </c>
      <c r="D23" s="7" t="inlineStr">
        <is>
          <t>Servings</t>
        </is>
      </c>
      <c r="E23" s="7" t="inlineStr">
        <is>
          <t>Source</t>
        </is>
      </c>
      <c r="F23" s="7" t="inlineStr">
        <is>
          <t>Calories</t>
        </is>
      </c>
      <c r="G23" s="7" t="inlineStr">
        <is>
          <t>Protein (g)</t>
        </is>
      </c>
      <c r="H23" s="7" t="inlineStr">
        <is>
          <t>Carbs (g)</t>
        </is>
      </c>
      <c r="I23" s="7" t="inlineStr">
        <is>
          <t>Fat (g)</t>
        </is>
      </c>
    </row>
    <row r="24">
      <c r="A24" t="inlineStr">
        <is>
          <t>2026-09-01</t>
        </is>
      </c>
      <c r="B24" t="inlineStr">
        <is>
          <t>Breakfast</t>
        </is>
      </c>
      <c r="C24" t="inlineStr">
        <is>
          <t>Egg, large</t>
        </is>
      </c>
      <c r="D24" s="16" t="n">
        <v>2</v>
      </c>
      <c r="E24">
        <f>IFERROR(VLOOKUP($C24,$A$6:$G$20,7,FALSE),"")</f>
        <v/>
      </c>
      <c r="F24" s="17">
        <f>IFERROR(VLOOKUP($C24,$A$6:$F$20,3,FALSE)*$D24,"")</f>
        <v/>
      </c>
      <c r="G24" s="18">
        <f>IFERROR(VLOOKUP($C24,$A$6:$F$20,4,FALSE)*$D24,"")</f>
        <v/>
      </c>
      <c r="H24" s="18">
        <f>IFERROR(VLOOKUP($C24,$A$6:$F$20,5,FALSE)*$D24,"")</f>
        <v/>
      </c>
      <c r="I24" s="18">
        <f>IFERROR(VLOOKUP($C24,$A$6:$F$20,6,FALSE)*$D24,"")</f>
        <v/>
      </c>
    </row>
    <row r="25">
      <c r="A25" t="inlineStr">
        <is>
          <t>2026-09-01</t>
        </is>
      </c>
      <c r="B25" t="inlineStr">
        <is>
          <t>Dinner</t>
        </is>
      </c>
      <c r="C25" t="inlineStr">
        <is>
          <t>Ropa vieja (shredded beef)</t>
        </is>
      </c>
      <c r="D25" s="16" t="n">
        <v>1</v>
      </c>
      <c r="E25">
        <f>IFERROR(VLOOKUP($C25,$A$6:$G$20,7,FALSE),"")</f>
        <v/>
      </c>
      <c r="F25" s="17">
        <f>IFERROR(VLOOKUP($C25,$A$6:$F$20,3,FALSE)*$D25,"")</f>
        <v/>
      </c>
      <c r="G25" s="18">
        <f>IFERROR(VLOOKUP($C25,$A$6:$F$20,4,FALSE)*$D25,"")</f>
        <v/>
      </c>
      <c r="H25" s="18">
        <f>IFERROR(VLOOKUP($C25,$A$6:$F$20,5,FALSE)*$D25,"")</f>
        <v/>
      </c>
      <c r="I25" s="18">
        <f>IFERROR(VLOOKUP($C25,$A$6:$F$20,6,FALSE)*$D25,"")</f>
        <v/>
      </c>
    </row>
    <row r="26">
      <c r="A26" t="inlineStr">
        <is>
          <t>2026-09-02</t>
        </is>
      </c>
      <c r="B26" t="inlineStr">
        <is>
          <t>Breakfast</t>
        </is>
      </c>
      <c r="C26" t="inlineStr">
        <is>
          <t>Greek yogurt, plain</t>
        </is>
      </c>
      <c r="D26" s="16" t="n">
        <v>1</v>
      </c>
      <c r="E26">
        <f>IFERROR(VLOOKUP($C26,$A$6:$G$20,7,FALSE),"")</f>
        <v/>
      </c>
      <c r="F26" s="17">
        <f>IFERROR(VLOOKUP($C26,$A$6:$F$20,3,FALSE)*$D26,"")</f>
        <v/>
      </c>
      <c r="G26" s="18">
        <f>IFERROR(VLOOKUP($C26,$A$6:$F$20,4,FALSE)*$D26,"")</f>
        <v/>
      </c>
      <c r="H26" s="18">
        <f>IFERROR(VLOOKUP($C26,$A$6:$F$20,5,FALSE)*$D26,"")</f>
        <v/>
      </c>
      <c r="I26" s="18">
        <f>IFERROR(VLOOKUP($C26,$A$6:$F$20,6,FALSE)*$D26,"")</f>
        <v/>
      </c>
    </row>
    <row r="27">
      <c r="A27" t="inlineStr">
        <is>
          <t>2026-09-02</t>
        </is>
      </c>
      <c r="B27" t="inlineStr">
        <is>
          <t>Lunch</t>
        </is>
      </c>
      <c r="C27" t="inlineStr">
        <is>
          <t>Chicken breast, grilled</t>
        </is>
      </c>
      <c r="D27" s="16" t="n">
        <v>1</v>
      </c>
      <c r="E27">
        <f>IFERROR(VLOOKUP($C27,$A$6:$G$20,7,FALSE),"")</f>
        <v/>
      </c>
      <c r="F27" s="17">
        <f>IFERROR(VLOOKUP($C27,$A$6:$F$20,3,FALSE)*$D27,"")</f>
        <v/>
      </c>
      <c r="G27" s="18">
        <f>IFERROR(VLOOKUP($C27,$A$6:$F$20,4,FALSE)*$D27,"")</f>
        <v/>
      </c>
      <c r="H27" s="18">
        <f>IFERROR(VLOOKUP($C27,$A$6:$F$20,5,FALSE)*$D27,"")</f>
        <v/>
      </c>
      <c r="I27" s="18">
        <f>IFERROR(VLOOKUP($C27,$A$6:$F$20,6,FALSE)*$D27,"")</f>
        <v/>
      </c>
    </row>
    <row r="28">
      <c r="A28" t="inlineStr">
        <is>
          <t>2026-09-03</t>
        </is>
      </c>
      <c r="B28" t="inlineStr">
        <is>
          <t>Breakfast</t>
        </is>
      </c>
      <c r="C28" t="inlineStr">
        <is>
          <t>Cafecito con azucar (Cuban coffee, sweet)</t>
        </is>
      </c>
      <c r="D28" s="16" t="n">
        <v>1</v>
      </c>
      <c r="E28">
        <f>IFERROR(VLOOKUP($C28,$A$6:$G$20,7,FALSE),"")</f>
        <v/>
      </c>
      <c r="F28" s="17">
        <f>IFERROR(VLOOKUP($C28,$A$6:$F$20,3,FALSE)*$D28,"")</f>
        <v/>
      </c>
      <c r="G28" s="18">
        <f>IFERROR(VLOOKUP($C28,$A$6:$F$20,4,FALSE)*$D28,"")</f>
        <v/>
      </c>
      <c r="H28" s="18">
        <f>IFERROR(VLOOKUP($C28,$A$6:$F$20,5,FALSE)*$D28,"")</f>
        <v/>
      </c>
      <c r="I28" s="18">
        <f>IFERROR(VLOOKUP($C28,$A$6:$F$20,6,FALSE)*$D28,"")</f>
        <v/>
      </c>
    </row>
    <row r="29">
      <c r="A29" t="inlineStr">
        <is>
          <t>2026-09-03</t>
        </is>
      </c>
      <c r="B29" t="inlineStr">
        <is>
          <t>Dinner</t>
        </is>
      </c>
      <c r="C29" t="inlineStr">
        <is>
          <t>Pizza slice, cheese</t>
        </is>
      </c>
      <c r="D29" s="16" t="n">
        <v>2</v>
      </c>
      <c r="E29">
        <f>IFERROR(VLOOKUP($C29,$A$6:$G$20,7,FALSE),"")</f>
        <v/>
      </c>
      <c r="F29" s="17">
        <f>IFERROR(VLOOKUP($C29,$A$6:$F$20,3,FALSE)*$D29,"")</f>
        <v/>
      </c>
      <c r="G29" s="18">
        <f>IFERROR(VLOOKUP($C29,$A$6:$F$20,4,FALSE)*$D29,"")</f>
        <v/>
      </c>
      <c r="H29" s="18">
        <f>IFERROR(VLOOKUP($C29,$A$6:$F$20,5,FALSE)*$D29,"")</f>
        <v/>
      </c>
      <c r="I29" s="18">
        <f>IFERROR(VLOOKUP($C29,$A$6:$F$20,6,FALSE)*$D29,"")</f>
        <v/>
      </c>
    </row>
    <row r="30">
      <c r="A30" t="inlineStr">
        <is>
          <t>2026-09-04</t>
        </is>
      </c>
      <c r="B30" t="inlineStr">
        <is>
          <t>Lunch</t>
        </is>
      </c>
      <c r="C30" t="inlineStr">
        <is>
          <t>Black beans, cooked</t>
        </is>
      </c>
      <c r="D30" s="16" t="n">
        <v>1</v>
      </c>
      <c r="E30">
        <f>IFERROR(VLOOKUP($C30,$A$6:$G$20,7,FALSE),"")</f>
        <v/>
      </c>
      <c r="F30" s="17">
        <f>IFERROR(VLOOKUP($C30,$A$6:$F$20,3,FALSE)*$D30,"")</f>
        <v/>
      </c>
      <c r="G30" s="18">
        <f>IFERROR(VLOOKUP($C30,$A$6:$F$20,4,FALSE)*$D30,"")</f>
        <v/>
      </c>
      <c r="H30" s="18">
        <f>IFERROR(VLOOKUP($C30,$A$6:$F$20,5,FALSE)*$D30,"")</f>
        <v/>
      </c>
      <c r="I30" s="18">
        <f>IFERROR(VLOOKUP($C30,$A$6:$F$20,6,FALSE)*$D30,"")</f>
        <v/>
      </c>
    </row>
    <row r="31">
      <c r="A31" t="inlineStr">
        <is>
          <t>2026-09-05</t>
        </is>
      </c>
      <c r="B31" t="inlineStr">
        <is>
          <t>Breakfast</t>
        </is>
      </c>
      <c r="C31" t="inlineStr">
        <is>
          <t>Egg, large</t>
        </is>
      </c>
      <c r="D31" s="16" t="n">
        <v>2</v>
      </c>
      <c r="E31">
        <f>IFERROR(VLOOKUP($C31,$A$6:$G$20,7,FALSE),"")</f>
        <v/>
      </c>
      <c r="F31" s="17">
        <f>IFERROR(VLOOKUP($C31,$A$6:$F$20,3,FALSE)*$D31,"")</f>
        <v/>
      </c>
      <c r="G31" s="18">
        <f>IFERROR(VLOOKUP($C31,$A$6:$F$20,4,FALSE)*$D31,"")</f>
        <v/>
      </c>
      <c r="H31" s="18">
        <f>IFERROR(VLOOKUP($C31,$A$6:$F$20,5,FALSE)*$D31,"")</f>
        <v/>
      </c>
      <c r="I31" s="18">
        <f>IFERROR(VLOOKUP($C31,$A$6:$F$20,6,FALSE)*$D31,"")</f>
        <v/>
      </c>
    </row>
    <row r="32">
      <c r="A32" t="inlineStr">
        <is>
          <t>2026-09-05</t>
        </is>
      </c>
      <c r="B32" t="inlineStr">
        <is>
          <t>Lunch</t>
        </is>
      </c>
      <c r="C32" t="inlineStr">
        <is>
          <t>White rice, cooked</t>
        </is>
      </c>
      <c r="D32" s="16" t="n">
        <v>1</v>
      </c>
      <c r="E32">
        <f>IFERROR(VLOOKUP($C32,$A$6:$G$20,7,FALSE),"")</f>
        <v/>
      </c>
      <c r="F32" s="17">
        <f>IFERROR(VLOOKUP($C32,$A$6:$F$20,3,FALSE)*$D32,"")</f>
        <v/>
      </c>
      <c r="G32" s="18">
        <f>IFERROR(VLOOKUP($C32,$A$6:$F$20,4,FALSE)*$D32,"")</f>
        <v/>
      </c>
      <c r="H32" s="18">
        <f>IFERROR(VLOOKUP($C32,$A$6:$F$20,5,FALSE)*$D32,"")</f>
        <v/>
      </c>
      <c r="I32" s="18">
        <f>IFERROR(VLOOKUP($C32,$A$6:$F$20,6,FALSE)*$D32,"")</f>
        <v/>
      </c>
    </row>
    <row r="33">
      <c r="A33" t="inlineStr">
        <is>
          <t>2026-09-06</t>
        </is>
      </c>
      <c r="B33" t="inlineStr">
        <is>
          <t>Dinner</t>
        </is>
      </c>
      <c r="C33" t="inlineStr">
        <is>
          <t>Ropa vieja (shredded beef)</t>
        </is>
      </c>
      <c r="D33" s="16" t="n">
        <v>1.5</v>
      </c>
      <c r="E33">
        <f>IFERROR(VLOOKUP($C33,$A$6:$G$20,7,FALSE),"")</f>
        <v/>
      </c>
      <c r="F33" s="17">
        <f>IFERROR(VLOOKUP($C33,$A$6:$F$20,3,FALSE)*$D33,"")</f>
        <v/>
      </c>
      <c r="G33" s="18">
        <f>IFERROR(VLOOKUP($C33,$A$6:$F$20,4,FALSE)*$D33,"")</f>
        <v/>
      </c>
      <c r="H33" s="18">
        <f>IFERROR(VLOOKUP($C33,$A$6:$F$20,5,FALSE)*$D33,"")</f>
        <v/>
      </c>
      <c r="I33" s="18">
        <f>IFERROR(VLOOKUP($C33,$A$6:$F$20,6,FALSE)*$D33,"")</f>
        <v/>
      </c>
    </row>
    <row r="34">
      <c r="A34" t="inlineStr">
        <is>
          <t>2026-09-07</t>
        </is>
      </c>
      <c r="B34" t="inlineStr">
        <is>
          <t>Breakfast</t>
        </is>
      </c>
      <c r="C34" t="inlineStr">
        <is>
          <t>Banana</t>
        </is>
      </c>
      <c r="D34" s="16" t="n">
        <v>1</v>
      </c>
      <c r="E34">
        <f>IFERROR(VLOOKUP($C34,$A$6:$G$20,7,FALSE),"")</f>
        <v/>
      </c>
      <c r="F34" s="17">
        <f>IFERROR(VLOOKUP($C34,$A$6:$F$20,3,FALSE)*$D34,"")</f>
        <v/>
      </c>
      <c r="G34" s="18">
        <f>IFERROR(VLOOKUP($C34,$A$6:$F$20,4,FALSE)*$D34,"")</f>
        <v/>
      </c>
      <c r="H34" s="18">
        <f>IFERROR(VLOOKUP($C34,$A$6:$F$20,5,FALSE)*$D34,"")</f>
        <v/>
      </c>
      <c r="I34" s="18">
        <f>IFERROR(VLOOKUP($C34,$A$6:$F$20,6,FALSE)*$D34,"")</f>
        <v/>
      </c>
    </row>
    <row r="35">
      <c r="A35" t="inlineStr">
        <is>
          <t>2026-09-08</t>
        </is>
      </c>
      <c r="B35" t="inlineStr">
        <is>
          <t>Lunch</t>
        </is>
      </c>
      <c r="C35" t="inlineStr">
        <is>
          <t>Croqueta (ham)</t>
        </is>
      </c>
      <c r="D35" s="16" t="n">
        <v>2</v>
      </c>
      <c r="E35">
        <f>IFERROR(VLOOKUP($C35,$A$6:$G$20,7,FALSE),"")</f>
        <v/>
      </c>
      <c r="F35" s="17">
        <f>IFERROR(VLOOKUP($C35,$A$6:$F$20,3,FALSE)*$D35,"")</f>
        <v/>
      </c>
      <c r="G35" s="18">
        <f>IFERROR(VLOOKUP($C35,$A$6:$F$20,4,FALSE)*$D35,"")</f>
        <v/>
      </c>
      <c r="H35" s="18">
        <f>IFERROR(VLOOKUP($C35,$A$6:$F$20,5,FALSE)*$D35,"")</f>
        <v/>
      </c>
      <c r="I35" s="18">
        <f>IFERROR(VLOOKUP($C35,$A$6:$F$20,6,FALSE)*$D35,"")</f>
        <v/>
      </c>
    </row>
    <row r="36">
      <c r="A36" t="inlineStr">
        <is>
          <t>2026-09-09</t>
        </is>
      </c>
      <c r="B36" t="inlineStr">
        <is>
          <t>Dinner</t>
        </is>
      </c>
      <c r="C36" t="inlineStr">
        <is>
          <t>Yuca con mojo</t>
        </is>
      </c>
      <c r="D36" s="16" t="n">
        <v>1</v>
      </c>
      <c r="E36">
        <f>IFERROR(VLOOKUP($C36,$A$6:$G$20,7,FALSE),"")</f>
        <v/>
      </c>
      <c r="F36" s="17">
        <f>IFERROR(VLOOKUP($C36,$A$6:$F$20,3,FALSE)*$D36,"")</f>
        <v/>
      </c>
      <c r="G36" s="18">
        <f>IFERROR(VLOOKUP($C36,$A$6:$F$20,4,FALSE)*$D36,"")</f>
        <v/>
      </c>
      <c r="H36" s="18">
        <f>IFERROR(VLOOKUP($C36,$A$6:$F$20,5,FALSE)*$D36,"")</f>
        <v/>
      </c>
      <c r="I36" s="18">
        <f>IFERROR(VLOOKUP($C36,$A$6:$F$20,6,FALSE)*$D36,"")</f>
        <v/>
      </c>
    </row>
    <row r="37">
      <c r="A37" t="inlineStr">
        <is>
          <t>2026-09-10</t>
        </is>
      </c>
      <c r="B37" t="inlineStr">
        <is>
          <t>Breakfast</t>
        </is>
      </c>
      <c r="C37" t="inlineStr">
        <is>
          <t>Cafe con leche</t>
        </is>
      </c>
      <c r="D37" s="16" t="n">
        <v>1</v>
      </c>
      <c r="E37">
        <f>IFERROR(VLOOKUP($C37,$A$6:$G$20,7,FALSE),"")</f>
        <v/>
      </c>
      <c r="F37" s="17">
        <f>IFERROR(VLOOKUP($C37,$A$6:$F$20,3,FALSE)*$D37,"")</f>
        <v/>
      </c>
      <c r="G37" s="18">
        <f>IFERROR(VLOOKUP($C37,$A$6:$F$20,4,FALSE)*$D37,"")</f>
        <v/>
      </c>
      <c r="H37" s="18">
        <f>IFERROR(VLOOKUP($C37,$A$6:$F$20,5,FALSE)*$D37,"")</f>
        <v/>
      </c>
      <c r="I37" s="18">
        <f>IFERROR(VLOOKUP($C37,$A$6:$F$20,6,FALSE)*$D37,"")</f>
        <v/>
      </c>
    </row>
    <row r="38">
      <c r="A38" t="inlineStr">
        <is>
          <t>2026-09-10</t>
        </is>
      </c>
      <c r="B38" t="inlineStr">
        <is>
          <t>Lunch</t>
        </is>
      </c>
      <c r="C38" t="inlineStr">
        <is>
          <t>Whole wheat bread</t>
        </is>
      </c>
      <c r="D38" s="16" t="n">
        <v>1</v>
      </c>
      <c r="E38">
        <f>IFERROR(VLOOKUP($C38,$A$6:$G$20,7,FALSE),"")</f>
        <v/>
      </c>
      <c r="F38" s="17">
        <f>IFERROR(VLOOKUP($C38,$A$6:$F$20,3,FALSE)*$D38,"")</f>
        <v/>
      </c>
      <c r="G38" s="18">
        <f>IFERROR(VLOOKUP($C38,$A$6:$F$20,4,FALSE)*$D38,"")</f>
        <v/>
      </c>
      <c r="H38" s="18">
        <f>IFERROR(VLOOKUP($C38,$A$6:$F$20,5,FALSE)*$D38,"")</f>
        <v/>
      </c>
      <c r="I38" s="18">
        <f>IFERROR(VLOOKUP($C38,$A$6:$F$20,6,FALSE)*$D38,"")</f>
        <v/>
      </c>
    </row>
    <row r="39">
      <c r="A39" t="inlineStr">
        <is>
          <t>2026-09-11</t>
        </is>
      </c>
      <c r="B39" t="inlineStr">
        <is>
          <t>Dinner</t>
        </is>
      </c>
      <c r="C39" t="inlineStr">
        <is>
          <t>Pizza slice, cheese</t>
        </is>
      </c>
      <c r="D39" s="16" t="n">
        <v>1</v>
      </c>
      <c r="E39">
        <f>IFERROR(VLOOKUP($C39,$A$6:$G$20,7,FALSE),"")</f>
        <v/>
      </c>
      <c r="F39" s="17">
        <f>IFERROR(VLOOKUP($C39,$A$6:$F$20,3,FALSE)*$D39,"")</f>
        <v/>
      </c>
      <c r="G39" s="18">
        <f>IFERROR(VLOOKUP($C39,$A$6:$F$20,4,FALSE)*$D39,"")</f>
        <v/>
      </c>
      <c r="H39" s="18">
        <f>IFERROR(VLOOKUP($C39,$A$6:$F$20,5,FALSE)*$D39,"")</f>
        <v/>
      </c>
      <c r="I39" s="18">
        <f>IFERROR(VLOOKUP($C39,$A$6:$F$20,6,FALSE)*$D39,"")</f>
        <v/>
      </c>
    </row>
    <row r="40">
      <c r="A40" t="inlineStr">
        <is>
          <t>2026-09-12</t>
        </is>
      </c>
      <c r="B40" t="inlineStr">
        <is>
          <t>Lunch</t>
        </is>
      </c>
      <c r="C40" t="inlineStr">
        <is>
          <t>Avocado</t>
        </is>
      </c>
      <c r="D40" s="16" t="n">
        <v>1</v>
      </c>
      <c r="E40">
        <f>IFERROR(VLOOKUP($C40,$A$6:$G$20,7,FALSE),"")</f>
        <v/>
      </c>
      <c r="F40" s="17">
        <f>IFERROR(VLOOKUP($C40,$A$6:$F$20,3,FALSE)*$D40,"")</f>
        <v/>
      </c>
      <c r="G40" s="18">
        <f>IFERROR(VLOOKUP($C40,$A$6:$F$20,4,FALSE)*$D40,"")</f>
        <v/>
      </c>
      <c r="H40" s="18">
        <f>IFERROR(VLOOKUP($C40,$A$6:$F$20,5,FALSE)*$D40,"")</f>
        <v/>
      </c>
      <c r="I40" s="18">
        <f>IFERROR(VLOOKUP($C40,$A$6:$F$20,6,FALSE)*$D40,"")</f>
        <v/>
      </c>
    </row>
    <row r="41">
      <c r="A41" t="inlineStr">
        <is>
          <t>2026-09-13</t>
        </is>
      </c>
      <c r="B41" t="inlineStr">
        <is>
          <t>Breakfast</t>
        </is>
      </c>
      <c r="C41" t="inlineStr">
        <is>
          <t>Egg, large</t>
        </is>
      </c>
      <c r="D41" s="16" t="n">
        <v>3</v>
      </c>
      <c r="E41">
        <f>IFERROR(VLOOKUP($C41,$A$6:$G$20,7,FALSE),"")</f>
        <v/>
      </c>
      <c r="F41" s="17">
        <f>IFERROR(VLOOKUP($C41,$A$6:$F$20,3,FALSE)*$D41,"")</f>
        <v/>
      </c>
      <c r="G41" s="18">
        <f>IFERROR(VLOOKUP($C41,$A$6:$F$20,4,FALSE)*$D41,"")</f>
        <v/>
      </c>
      <c r="H41" s="18">
        <f>IFERROR(VLOOKUP($C41,$A$6:$F$20,5,FALSE)*$D41,"")</f>
        <v/>
      </c>
      <c r="I41" s="18">
        <f>IFERROR(VLOOKUP($C41,$A$6:$F$20,6,FALSE)*$D41,"")</f>
        <v/>
      </c>
    </row>
    <row r="42">
      <c r="A42" t="inlineStr">
        <is>
          <t>2026-09-13</t>
        </is>
      </c>
      <c r="B42" t="inlineStr">
        <is>
          <t>Dinner</t>
        </is>
      </c>
      <c r="C42" t="inlineStr">
        <is>
          <t>Plantain, fried (maduros)</t>
        </is>
      </c>
      <c r="D42" s="16" t="n">
        <v>1</v>
      </c>
      <c r="E42">
        <f>IFERROR(VLOOKUP($C42,$A$6:$G$20,7,FALSE),"")</f>
        <v/>
      </c>
      <c r="F42" s="17">
        <f>IFERROR(VLOOKUP($C42,$A$6:$F$20,3,FALSE)*$D42,"")</f>
        <v/>
      </c>
      <c r="G42" s="18">
        <f>IFERROR(VLOOKUP($C42,$A$6:$F$20,4,FALSE)*$D42,"")</f>
        <v/>
      </c>
      <c r="H42" s="18">
        <f>IFERROR(VLOOKUP($C42,$A$6:$F$20,5,FALSE)*$D42,"")</f>
        <v/>
      </c>
      <c r="I42" s="18">
        <f>IFERROR(VLOOKUP($C42,$A$6:$F$20,6,FALSE)*$D42,"")</f>
        <v/>
      </c>
    </row>
    <row r="43">
      <c r="A43" t="inlineStr">
        <is>
          <t>2026-09-14</t>
        </is>
      </c>
      <c r="B43" t="inlineStr">
        <is>
          <t>Dinner</t>
        </is>
      </c>
      <c r="C43" t="inlineStr">
        <is>
          <t>Chicken breast, grilled</t>
        </is>
      </c>
      <c r="D43" s="16" t="n">
        <v>1</v>
      </c>
      <c r="E43">
        <f>IFERROR(VLOOKUP($C43,$A$6:$G$20,7,FALSE),"")</f>
        <v/>
      </c>
      <c r="F43" s="17">
        <f>IFERROR(VLOOKUP($C43,$A$6:$F$20,3,FALSE)*$D43,"")</f>
        <v/>
      </c>
      <c r="G43" s="18">
        <f>IFERROR(VLOOKUP($C43,$A$6:$F$20,4,FALSE)*$D43,"")</f>
        <v/>
      </c>
      <c r="H43" s="18">
        <f>IFERROR(VLOOKUP($C43,$A$6:$F$20,5,FALSE)*$D43,"")</f>
        <v/>
      </c>
      <c r="I43" s="18">
        <f>IFERROR(VLOOKUP($C43,$A$6:$F$20,6,FALSE)*$D43,"")</f>
        <v/>
      </c>
    </row>
    <row r="45">
      <c r="A45" s="8" t="inlineStr">
        <is>
          <t>DAILY SUMMARY — SUMIF each day</t>
        </is>
      </c>
    </row>
    <row r="46">
      <c r="A46" s="7" t="inlineStr">
        <is>
          <t>Date</t>
        </is>
      </c>
      <c r="B46" s="7" t="inlineStr">
        <is>
          <t>Calories</t>
        </is>
      </c>
      <c r="C46" s="7" t="inlineStr">
        <is>
          <t>Protein (g)</t>
        </is>
      </c>
    </row>
    <row r="47">
      <c r="A47" t="inlineStr">
        <is>
          <t>2026-09-01</t>
        </is>
      </c>
      <c r="B47" s="17">
        <f>SUMIF($A$24:$A$43,$A47,$F$24:$F$43)</f>
        <v/>
      </c>
      <c r="C47" s="18">
        <f>SUMIF($A$24:$A$43,$A47,$G$24:$G$43)</f>
        <v/>
      </c>
    </row>
    <row r="48">
      <c r="A48" t="inlineStr">
        <is>
          <t>2026-09-02</t>
        </is>
      </c>
      <c r="B48" s="17">
        <f>SUMIF($A$24:$A$43,$A48,$F$24:$F$43)</f>
        <v/>
      </c>
      <c r="C48" s="18">
        <f>SUMIF($A$24:$A$43,$A48,$G$24:$G$43)</f>
        <v/>
      </c>
    </row>
    <row r="49">
      <c r="A49" t="inlineStr">
        <is>
          <t>2026-09-03</t>
        </is>
      </c>
      <c r="B49" s="17">
        <f>SUMIF($A$24:$A$43,$A49,$F$24:$F$43)</f>
        <v/>
      </c>
      <c r="C49" s="18">
        <f>SUMIF($A$24:$A$43,$A49,$G$24:$G$43)</f>
        <v/>
      </c>
    </row>
    <row r="50">
      <c r="A50" t="inlineStr">
        <is>
          <t>2026-09-04</t>
        </is>
      </c>
      <c r="B50" s="17">
        <f>SUMIF($A$24:$A$43,$A50,$F$24:$F$43)</f>
        <v/>
      </c>
      <c r="C50" s="18">
        <f>SUMIF($A$24:$A$43,$A50,$G$24:$G$43)</f>
        <v/>
      </c>
    </row>
    <row r="51">
      <c r="A51" t="inlineStr">
        <is>
          <t>2026-09-05</t>
        </is>
      </c>
      <c r="B51" s="17">
        <f>SUMIF($A$24:$A$43,$A51,$F$24:$F$43)</f>
        <v/>
      </c>
      <c r="C51" s="18">
        <f>SUMIF($A$24:$A$43,$A51,$G$24:$G$43)</f>
        <v/>
      </c>
    </row>
    <row r="52">
      <c r="A52" t="inlineStr">
        <is>
          <t>2026-09-06</t>
        </is>
      </c>
      <c r="B52" s="17">
        <f>SUMIF($A$24:$A$43,$A52,$F$24:$F$43)</f>
        <v/>
      </c>
      <c r="C52" s="18">
        <f>SUMIF($A$24:$A$43,$A52,$G$24:$G$43)</f>
        <v/>
      </c>
    </row>
    <row r="53">
      <c r="A53" t="inlineStr">
        <is>
          <t>2026-09-07</t>
        </is>
      </c>
      <c r="B53" s="17">
        <f>SUMIF($A$24:$A$43,$A53,$F$24:$F$43)</f>
        <v/>
      </c>
      <c r="C53" s="18">
        <f>SUMIF($A$24:$A$43,$A53,$G$24:$G$43)</f>
        <v/>
      </c>
    </row>
    <row r="54">
      <c r="A54" t="inlineStr">
        <is>
          <t>2026-09-08</t>
        </is>
      </c>
      <c r="B54" s="17">
        <f>SUMIF($A$24:$A$43,$A54,$F$24:$F$43)</f>
        <v/>
      </c>
      <c r="C54" s="18">
        <f>SUMIF($A$24:$A$43,$A54,$G$24:$G$43)</f>
        <v/>
      </c>
    </row>
    <row r="55">
      <c r="A55" t="inlineStr">
        <is>
          <t>2026-09-09</t>
        </is>
      </c>
      <c r="B55" s="17">
        <f>SUMIF($A$24:$A$43,$A55,$F$24:$F$43)</f>
        <v/>
      </c>
      <c r="C55" s="18">
        <f>SUMIF($A$24:$A$43,$A55,$G$24:$G$43)</f>
        <v/>
      </c>
    </row>
    <row r="56">
      <c r="A56" t="inlineStr">
        <is>
          <t>2026-09-10</t>
        </is>
      </c>
      <c r="B56" s="17">
        <f>SUMIF($A$24:$A$43,$A56,$F$24:$F$43)</f>
        <v/>
      </c>
      <c r="C56" s="18">
        <f>SUMIF($A$24:$A$43,$A56,$G$24:$G$43)</f>
        <v/>
      </c>
    </row>
    <row r="57">
      <c r="A57" t="inlineStr">
        <is>
          <t>2026-09-11</t>
        </is>
      </c>
      <c r="B57" s="17">
        <f>SUMIF($A$24:$A$43,$A57,$F$24:$F$43)</f>
        <v/>
      </c>
      <c r="C57" s="18">
        <f>SUMIF($A$24:$A$43,$A57,$G$24:$G$43)</f>
        <v/>
      </c>
    </row>
    <row r="58">
      <c r="A58" t="inlineStr">
        <is>
          <t>2026-09-12</t>
        </is>
      </c>
      <c r="B58" s="17">
        <f>SUMIF($A$24:$A$43,$A58,$F$24:$F$43)</f>
        <v/>
      </c>
      <c r="C58" s="18">
        <f>SUMIF($A$24:$A$43,$A58,$G$24:$G$43)</f>
        <v/>
      </c>
    </row>
    <row r="59">
      <c r="A59" t="inlineStr">
        <is>
          <t>2026-09-13</t>
        </is>
      </c>
      <c r="B59" s="17">
        <f>SUMIF($A$24:$A$43,$A59,$F$24:$F$43)</f>
        <v/>
      </c>
      <c r="C59" s="18">
        <f>SUMIF($A$24:$A$43,$A59,$G$24:$G$43)</f>
        <v/>
      </c>
    </row>
    <row r="60">
      <c r="A60" t="inlineStr">
        <is>
          <t>2026-09-14</t>
        </is>
      </c>
      <c r="B60" s="17">
        <f>SUMIF($A$24:$A$43,$A60,$F$24:$F$43)</f>
        <v/>
      </c>
      <c r="C60" s="18">
        <f>SUMIF($A$24:$A$43,$A60,$G$24:$G$43)</f>
        <v/>
      </c>
    </row>
    <row r="62">
      <c r="A62" s="2" t="inlineStr">
        <is>
          <t>Average calories/day</t>
        </is>
      </c>
      <c r="B62" s="18">
        <f>AVERAGE(B47:B60)</f>
        <v/>
      </c>
    </row>
    <row r="63">
      <c r="A63" s="2" t="inlineStr">
        <is>
          <t>Average protein/day</t>
        </is>
      </c>
      <c r="B63" s="18">
        <f>AVERAGE(C47:C60)</f>
        <v/>
      </c>
    </row>
    <row r="64">
      <c r="A64" s="2" t="inlineStr">
        <is>
          <t>Average calories on restaurant rows (AVERAGEIF)</t>
        </is>
      </c>
      <c r="B64" s="18">
        <f>IFERROR(AVERAGEIF($E$24:$E$43,"Restaurant nutrition",$F$24:$F$43),"")</f>
        <v/>
      </c>
    </row>
    <row r="66">
      <c r="A66" s="8" t="inlineStr">
        <is>
          <t>DASHBOARD — averages vs targets</t>
        </is>
      </c>
    </row>
    <row r="67">
      <c r="A67" s="7" t="inlineStr">
        <is>
          <t>Metric</t>
        </is>
      </c>
      <c r="B67" s="7" t="inlineStr">
        <is>
          <t>Target</t>
        </is>
      </c>
      <c r="C67" s="7" t="inlineStr">
        <is>
          <t>Actual</t>
        </is>
      </c>
      <c r="D67" s="7" t="inlineStr">
        <is>
          <t>Difference</t>
        </is>
      </c>
    </row>
    <row r="68">
      <c r="A68" t="inlineStr">
        <is>
          <t>Calories</t>
        </is>
      </c>
      <c r="B68" s="18" t="n">
        <v>2000</v>
      </c>
      <c r="C68" s="18">
        <f>B62</f>
        <v/>
      </c>
      <c r="D68" s="19">
        <f>C68-B68</f>
        <v/>
      </c>
    </row>
    <row r="69">
      <c r="A69" t="inlineStr">
        <is>
          <t>Protein (g)</t>
        </is>
      </c>
      <c r="B69" s="18" t="n">
        <v>110</v>
      </c>
      <c r="C69" s="18">
        <f>B63</f>
        <v/>
      </c>
      <c r="D69" s="19">
        <f>C69-B69</f>
        <v/>
      </c>
    </row>
    <row r="70">
      <c r="A70" t="inlineStr">
        <is>
          <t>Carbs (g)</t>
        </is>
      </c>
      <c r="B70" s="18" t="n">
        <v>220</v>
      </c>
      <c r="C70" s="18">
        <f>AVERAGE($H$24:$H$43)</f>
        <v/>
      </c>
      <c r="D70" s="19">
        <f>C70-B70</f>
        <v/>
      </c>
    </row>
    <row r="71">
      <c r="A71" t="inlineStr">
        <is>
          <t>Fat (g)</t>
        </is>
      </c>
      <c r="B71" s="18" t="n">
        <v>70</v>
      </c>
      <c r="C71" s="18">
        <f>AVERAGE($I$24:$I$43)</f>
        <v/>
      </c>
      <c r="D71" s="19">
        <f>C71-B71</f>
        <v/>
      </c>
    </row>
    <row r="73" ht="60" customHeight="1">
      <c r="A73" s="8" t="inlineStr">
        <is>
          <t>INSIGHT</t>
        </is>
      </c>
      <c r="B73" s="3" t="inlineStr">
        <is>
          <t>78% of my over-target days were restaurant days — and restaurant foods are exactly the rows where my source data is weakest, so the pattern is real but the magnitude is soft. If my restaurant estimates are low, the gap is even larger; if they are high, some 'over' days may be ties. The claim I can defend: my over-target days cluster, they are not random.</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40"/>
  <sheetViews>
    <sheetView workbookViewId="0">
      <selection activeCell="A1" sqref="A1"/>
    </sheetView>
  </sheetViews>
  <sheetFormatPr baseColWidth="8" defaultRowHeight="15"/>
  <cols>
    <col width="34" customWidth="1" min="1" max="1"/>
    <col width="14" customWidth="1" min="2" max="2"/>
    <col width="12" customWidth="1" min="3" max="3"/>
    <col width="15" customWidth="1" min="4" max="4"/>
    <col width="14" customWidth="1" min="5" max="5"/>
    <col width="12" customWidth="1" min="6" max="6"/>
    <col width="22" customWidth="1" min="7" max="7"/>
  </cols>
  <sheetData>
    <row r="1">
      <c r="A1" s="4" t="inlineStr">
        <is>
          <t>LEVEL 3 — Proficient</t>
        </is>
      </c>
    </row>
    <row r="2">
      <c r="A2" s="5" t="inlineStr">
        <is>
          <t>Works and is honest. The expected standard.</t>
        </is>
      </c>
    </row>
    <row r="3">
      <c r="A3" s="6" t="inlineStr">
        <is>
          <t>Task: Track 14 days of your own eating. For every food, source its macros, look them up in a reference table, and aggregate the log into a dashboard that answers one question you chose about your own eating.</t>
        </is>
      </c>
    </row>
    <row r="5">
      <c r="A5" s="7" t="inlineStr">
        <is>
          <t>Food</t>
        </is>
      </c>
      <c r="B5" s="7" t="inlineStr">
        <is>
          <t>Serving</t>
        </is>
      </c>
      <c r="C5" s="7" t="inlineStr">
        <is>
          <t>Calories</t>
        </is>
      </c>
      <c r="D5" s="7" t="inlineStr">
        <is>
          <t>Protein (g)</t>
        </is>
      </c>
      <c r="E5" s="7" t="inlineStr">
        <is>
          <t>Carbs (g)</t>
        </is>
      </c>
      <c r="F5" s="7" t="inlineStr">
        <is>
          <t>Fat (g)</t>
        </is>
      </c>
      <c r="G5" s="7" t="inlineStr">
        <is>
          <t>Source</t>
        </is>
      </c>
    </row>
    <row r="6">
      <c r="A6" t="inlineStr">
        <is>
          <t>Egg, large</t>
        </is>
      </c>
      <c r="B6" t="inlineStr">
        <is>
          <t>1 egg</t>
        </is>
      </c>
      <c r="C6" t="n">
        <v>72</v>
      </c>
      <c r="D6" t="n">
        <v>6.3</v>
      </c>
      <c r="E6" t="n">
        <v>0.4</v>
      </c>
      <c r="F6" t="n">
        <v>4.8</v>
      </c>
      <c r="G6" t="inlineStr">
        <is>
          <t>USDA FoodData Central</t>
        </is>
      </c>
    </row>
    <row r="7">
      <c r="A7" t="inlineStr">
        <is>
          <t>White rice, cooked</t>
        </is>
      </c>
      <c r="B7" t="inlineStr">
        <is>
          <t>1 cup</t>
        </is>
      </c>
      <c r="C7" t="n">
        <v>205</v>
      </c>
      <c r="D7" t="n">
        <v>4.3</v>
      </c>
      <c r="E7" t="n">
        <v>44.5</v>
      </c>
      <c r="F7" t="n">
        <v>0.4</v>
      </c>
      <c r="G7" t="inlineStr">
        <is>
          <t>USDA FoodData Central</t>
        </is>
      </c>
    </row>
    <row r="8">
      <c r="A8" t="inlineStr">
        <is>
          <t>Chicken breast, grilled</t>
        </is>
      </c>
      <c r="B8" t="inlineStr">
        <is>
          <t>100 g</t>
        </is>
      </c>
      <c r="C8" t="n">
        <v>165</v>
      </c>
      <c r="D8" t="n">
        <v>31</v>
      </c>
      <c r="E8" t="n">
        <v>0</v>
      </c>
      <c r="F8" t="n">
        <v>3.6</v>
      </c>
      <c r="G8" t="inlineStr">
        <is>
          <t>USDA FoodData Central</t>
        </is>
      </c>
    </row>
    <row r="9">
      <c r="A9" t="inlineStr">
        <is>
          <t>Ropa vieja (shredded beef)</t>
        </is>
      </c>
      <c r="B9" t="inlineStr">
        <is>
          <t>1 cup</t>
        </is>
      </c>
      <c r="C9" t="n">
        <v>285</v>
      </c>
      <c r="D9" t="n">
        <v>26</v>
      </c>
      <c r="E9" t="n">
        <v>8</v>
      </c>
      <c r="F9" t="n">
        <v>17</v>
      </c>
      <c r="G9" t="inlineStr">
        <is>
          <t>Restaurant nutrition</t>
        </is>
      </c>
    </row>
    <row r="10">
      <c r="A10" t="inlineStr">
        <is>
          <t>Plantain, fried (maduros)</t>
        </is>
      </c>
      <c r="B10" t="inlineStr">
        <is>
          <t>1 cup</t>
        </is>
      </c>
      <c r="C10" t="n">
        <v>250</v>
      </c>
      <c r="D10" t="n">
        <v>1.4</v>
      </c>
      <c r="E10" t="n">
        <v>47</v>
      </c>
      <c r="F10" t="n">
        <v>8.6</v>
      </c>
      <c r="G10" t="inlineStr">
        <is>
          <t>Restaurant nutrition</t>
        </is>
      </c>
    </row>
    <row r="11">
      <c r="A11" t="inlineStr">
        <is>
          <t>Avocado</t>
        </is>
      </c>
      <c r="B11" t="inlineStr">
        <is>
          <t>1/2 fruit</t>
        </is>
      </c>
      <c r="C11" t="n">
        <v>160</v>
      </c>
      <c r="D11" t="n">
        <v>2</v>
      </c>
      <c r="E11" t="n">
        <v>8.5</v>
      </c>
      <c r="F11" t="n">
        <v>14.7</v>
      </c>
      <c r="G11" t="inlineStr">
        <is>
          <t>USDA FoodData Central</t>
        </is>
      </c>
    </row>
    <row r="12">
      <c r="A12" t="inlineStr">
        <is>
          <t>Banana</t>
        </is>
      </c>
      <c r="B12" t="inlineStr">
        <is>
          <t>1 medium</t>
        </is>
      </c>
      <c r="C12" t="n">
        <v>105</v>
      </c>
      <c r="D12" t="n">
        <v>1.3</v>
      </c>
      <c r="E12" t="n">
        <v>27</v>
      </c>
      <c r="F12" t="n">
        <v>0.4</v>
      </c>
      <c r="G12" t="inlineStr">
        <is>
          <t>USDA FoodData Central</t>
        </is>
      </c>
    </row>
    <row r="13">
      <c r="A13" t="inlineStr">
        <is>
          <t>Greek yogurt, plain</t>
        </is>
      </c>
      <c r="B13" t="inlineStr">
        <is>
          <t>1 cup (170 g)</t>
        </is>
      </c>
      <c r="C13" t="n">
        <v>100</v>
      </c>
      <c r="D13" t="n">
        <v>17</v>
      </c>
      <c r="E13" t="n">
        <v>6</v>
      </c>
      <c r="F13" t="n">
        <v>0.7</v>
      </c>
      <c r="G13" t="inlineStr">
        <is>
          <t>Open Food Facts</t>
        </is>
      </c>
    </row>
    <row r="14">
      <c r="A14" t="inlineStr">
        <is>
          <t>Pizza slice, cheese</t>
        </is>
      </c>
      <c r="B14" t="inlineStr">
        <is>
          <t>1 slice</t>
        </is>
      </c>
      <c r="C14" t="n">
        <v>285</v>
      </c>
      <c r="D14" t="n">
        <v>12.2</v>
      </c>
      <c r="E14" t="n">
        <v>35.7</v>
      </c>
      <c r="F14" t="n">
        <v>10.4</v>
      </c>
      <c r="G14" t="inlineStr">
        <is>
          <t>Restaurant nutrition</t>
        </is>
      </c>
    </row>
    <row r="15">
      <c r="A15" t="inlineStr">
        <is>
          <t>Cafe con leche</t>
        </is>
      </c>
      <c r="B15" t="inlineStr">
        <is>
          <t>1 cup (8 oz)</t>
        </is>
      </c>
      <c r="C15" t="n">
        <v>110</v>
      </c>
      <c r="D15" t="n">
        <v>5</v>
      </c>
      <c r="E15" t="n">
        <v>11</v>
      </c>
      <c r="F15" t="n">
        <v>5</v>
      </c>
      <c r="G15" t="inlineStr">
        <is>
          <t>Estimate / other</t>
        </is>
      </c>
    </row>
    <row r="17">
      <c r="A17" s="8" t="inlineStr">
        <is>
          <t>DAILY LOG</t>
        </is>
      </c>
    </row>
    <row r="18">
      <c r="A18" s="7" t="inlineStr">
        <is>
          <t>Date</t>
        </is>
      </c>
      <c r="B18" s="7" t="inlineStr">
        <is>
          <t>Meal</t>
        </is>
      </c>
      <c r="C18" s="7" t="inlineStr">
        <is>
          <t>Food</t>
        </is>
      </c>
      <c r="D18" s="7" t="inlineStr">
        <is>
          <t>Servings</t>
        </is>
      </c>
      <c r="E18" s="7" t="inlineStr">
        <is>
          <t>Source</t>
        </is>
      </c>
      <c r="F18" s="7" t="inlineStr">
        <is>
          <t>Calories</t>
        </is>
      </c>
      <c r="G18" s="7" t="inlineStr">
        <is>
          <t>Protein (g)</t>
        </is>
      </c>
    </row>
    <row r="19">
      <c r="A19" t="inlineStr">
        <is>
          <t>2026-09-10</t>
        </is>
      </c>
      <c r="B19" t="inlineStr">
        <is>
          <t>Breakfast</t>
        </is>
      </c>
      <c r="C19" t="inlineStr">
        <is>
          <t>Egg, large</t>
        </is>
      </c>
      <c r="D19" s="16" t="n">
        <v>2</v>
      </c>
      <c r="E19">
        <f>IFERROR(VLOOKUP($C19,$A$6:$G$15,7,FALSE),"")</f>
        <v/>
      </c>
      <c r="F19" s="17">
        <f>IFERROR(VLOOKUP($C19,$A$6:$F$15,3,FALSE)*$D19,"")</f>
        <v/>
      </c>
      <c r="G19" s="18">
        <f>IFERROR(VLOOKUP($C19,$A$6:$F$15,4,FALSE)*$D19,"")</f>
        <v/>
      </c>
    </row>
    <row r="20">
      <c r="A20" t="inlineStr">
        <is>
          <t>2026-09-10</t>
        </is>
      </c>
      <c r="B20" t="inlineStr">
        <is>
          <t>Lunch</t>
        </is>
      </c>
      <c r="C20" t="inlineStr">
        <is>
          <t>White rice, cooked</t>
        </is>
      </c>
      <c r="D20" s="16" t="n">
        <v>1</v>
      </c>
      <c r="E20">
        <f>IFERROR(VLOOKUP($C20,$A$6:$G$15,7,FALSE),"")</f>
        <v/>
      </c>
      <c r="F20" s="17">
        <f>IFERROR(VLOOKUP($C20,$A$6:$F$15,3,FALSE)*$D20,"")</f>
        <v/>
      </c>
      <c r="G20" s="18">
        <f>IFERROR(VLOOKUP($C20,$A$6:$F$15,4,FALSE)*$D20,"")</f>
        <v/>
      </c>
    </row>
    <row r="21">
      <c r="A21" t="inlineStr">
        <is>
          <t>2026-09-11</t>
        </is>
      </c>
      <c r="B21" t="inlineStr">
        <is>
          <t>Dinner</t>
        </is>
      </c>
      <c r="C21" t="inlineStr">
        <is>
          <t>Ropa vieja (shredded beef)</t>
        </is>
      </c>
      <c r="D21" s="16" t="n">
        <v>1</v>
      </c>
      <c r="E21">
        <f>IFERROR(VLOOKUP($C21,$A$6:$G$15,7,FALSE),"")</f>
        <v/>
      </c>
      <c r="F21" s="17">
        <f>IFERROR(VLOOKUP($C21,$A$6:$F$15,3,FALSE)*$D21,"")</f>
        <v/>
      </c>
      <c r="G21" s="18">
        <f>IFERROR(VLOOKUP($C21,$A$6:$F$15,4,FALSE)*$D21,"")</f>
        <v/>
      </c>
    </row>
    <row r="22">
      <c r="A22" t="inlineStr">
        <is>
          <t>2026-09-11</t>
        </is>
      </c>
      <c r="B22" t="inlineStr">
        <is>
          <t>Dinner</t>
        </is>
      </c>
      <c r="C22" t="inlineStr">
        <is>
          <t>Plantain, fried (maduros)</t>
        </is>
      </c>
      <c r="D22" s="16" t="n">
        <v>1</v>
      </c>
      <c r="E22">
        <f>IFERROR(VLOOKUP($C22,$A$6:$G$15,7,FALSE),"")</f>
        <v/>
      </c>
      <c r="F22" s="17">
        <f>IFERROR(VLOOKUP($C22,$A$6:$F$15,3,FALSE)*$D22,"")</f>
        <v/>
      </c>
      <c r="G22" s="18">
        <f>IFERROR(VLOOKUP($C22,$A$6:$F$15,4,FALSE)*$D22,"")</f>
        <v/>
      </c>
    </row>
    <row r="23">
      <c r="A23" t="inlineStr">
        <is>
          <t>2026-09-12</t>
        </is>
      </c>
      <c r="B23" t="inlineStr">
        <is>
          <t>Breakfast</t>
        </is>
      </c>
      <c r="C23" t="inlineStr">
        <is>
          <t>Greek yogurt, plain</t>
        </is>
      </c>
      <c r="D23" s="16" t="n">
        <v>1</v>
      </c>
      <c r="E23">
        <f>IFERROR(VLOOKUP($C23,$A$6:$G$15,7,FALSE),"")</f>
        <v/>
      </c>
      <c r="F23" s="17">
        <f>IFERROR(VLOOKUP($C23,$A$6:$F$15,3,FALSE)*$D23,"")</f>
        <v/>
      </c>
      <c r="G23" s="18">
        <f>IFERROR(VLOOKUP($C23,$A$6:$F$15,4,FALSE)*$D23,"")</f>
        <v/>
      </c>
    </row>
    <row r="24">
      <c r="A24" t="inlineStr">
        <is>
          <t>2026-09-12</t>
        </is>
      </c>
      <c r="B24" t="inlineStr">
        <is>
          <t>Snack</t>
        </is>
      </c>
      <c r="C24" t="inlineStr">
        <is>
          <t>Banana</t>
        </is>
      </c>
      <c r="D24" s="16" t="n">
        <v>1</v>
      </c>
      <c r="E24">
        <f>IFERROR(VLOOKUP($C24,$A$6:$G$15,7,FALSE),"")</f>
        <v/>
      </c>
      <c r="F24" s="17">
        <f>IFERROR(VLOOKUP($C24,$A$6:$F$15,3,FALSE)*$D24,"")</f>
        <v/>
      </c>
      <c r="G24" s="18">
        <f>IFERROR(VLOOKUP($C24,$A$6:$F$15,4,FALSE)*$D24,"")</f>
        <v/>
      </c>
    </row>
    <row r="25">
      <c r="A25" t="inlineStr">
        <is>
          <t>2026-09-13</t>
        </is>
      </c>
      <c r="B25" t="inlineStr">
        <is>
          <t>Dinner</t>
        </is>
      </c>
      <c r="C25" t="inlineStr">
        <is>
          <t>Pizza slice, cheese</t>
        </is>
      </c>
      <c r="D25" s="16" t="n">
        <v>2</v>
      </c>
      <c r="E25">
        <f>IFERROR(VLOOKUP($C25,$A$6:$G$15,7,FALSE),"")</f>
        <v/>
      </c>
      <c r="F25" s="17">
        <f>IFERROR(VLOOKUP($C25,$A$6:$F$15,3,FALSE)*$D25,"")</f>
        <v/>
      </c>
      <c r="G25" s="18">
        <f>IFERROR(VLOOKUP($C25,$A$6:$F$15,4,FALSE)*$D25,"")</f>
        <v/>
      </c>
    </row>
    <row r="26">
      <c r="A26" t="inlineStr">
        <is>
          <t>2026-09-14</t>
        </is>
      </c>
      <c r="B26" t="inlineStr">
        <is>
          <t>Dinner</t>
        </is>
      </c>
      <c r="C26" t="inlineStr">
        <is>
          <t>Chicken breast, grilled</t>
        </is>
      </c>
      <c r="D26" s="16" t="n">
        <v>1</v>
      </c>
      <c r="E26">
        <f>IFERROR(VLOOKUP($C26,$A$6:$G$15,7,FALSE),"")</f>
        <v/>
      </c>
      <c r="F26" s="17">
        <f>IFERROR(VLOOKUP($C26,$A$6:$F$15,3,FALSE)*$D26,"")</f>
        <v/>
      </c>
      <c r="G26" s="18">
        <f>IFERROR(VLOOKUP($C26,$A$6:$F$15,4,FALSE)*$D26,"")</f>
        <v/>
      </c>
    </row>
    <row r="28">
      <c r="A28" s="8" t="inlineStr">
        <is>
          <t>DAILY SUMMARY</t>
        </is>
      </c>
    </row>
    <row r="29">
      <c r="A29" s="7" t="inlineStr">
        <is>
          <t>Date</t>
        </is>
      </c>
      <c r="B29" s="7" t="inlineStr">
        <is>
          <t>Calories</t>
        </is>
      </c>
    </row>
    <row r="30">
      <c r="A30" t="inlineStr">
        <is>
          <t>2026-09-10</t>
        </is>
      </c>
      <c r="B30" s="17">
        <f>SUMIF($A$19:$A$26,$A30,$F$19:$F$26)</f>
        <v/>
      </c>
    </row>
    <row r="31">
      <c r="A31" t="inlineStr">
        <is>
          <t>2026-09-11</t>
        </is>
      </c>
      <c r="B31" s="17">
        <f>SUMIF($A$19:$A$26,$A31,$F$19:$F$26)</f>
        <v/>
      </c>
    </row>
    <row r="32">
      <c r="A32" t="inlineStr">
        <is>
          <t>2026-09-12</t>
        </is>
      </c>
      <c r="B32" s="17">
        <f>SUMIF($A$19:$A$26,$A32,$F$19:$F$26)</f>
        <v/>
      </c>
    </row>
    <row r="33">
      <c r="A33" t="inlineStr">
        <is>
          <t>2026-09-13</t>
        </is>
      </c>
      <c r="B33" s="17">
        <f>SUMIF($A$19:$A$26,$A33,$F$19:$F$26)</f>
        <v/>
      </c>
    </row>
    <row r="34">
      <c r="A34" t="inlineStr">
        <is>
          <t>2026-09-14</t>
        </is>
      </c>
      <c r="B34" s="17">
        <f>SUMIF($A$19:$A$26,$A34,$F$19:$F$26)</f>
        <v/>
      </c>
    </row>
    <row r="35">
      <c r="A35" s="2" t="inlineStr">
        <is>
          <t>Average calories/day</t>
        </is>
      </c>
      <c r="B35" s="18">
        <f>AVERAGE(B30:B34)</f>
        <v/>
      </c>
    </row>
    <row r="36">
      <c r="A36" s="2" t="inlineStr">
        <is>
          <t>Average calories on restaurant rows</t>
        </is>
      </c>
      <c r="B36" s="18">
        <f>IFERROR(AVERAGEIF($E$19:$E$26,"Restaurant nutrition",$F$19:$F$26),"")</f>
        <v/>
      </c>
    </row>
    <row r="38">
      <c r="A38" s="8" t="inlineStr">
        <is>
          <t>What I found</t>
        </is>
      </c>
      <c r="B38" s="3" t="inlineStr">
        <is>
          <t>Most of my biggest days were days I ate out. I should cook at home more, and when I do eat out I should pick something lighter.</t>
        </is>
      </c>
    </row>
    <row r="40">
      <c r="A40" s="3" t="inlineStr">
        <is>
          <t>Missing vs Level 4: no sources key, no colour-coded origins, fewer foods and days, the finding is stated but never quantified, and there is no target-vs-actual difference column.</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2" customWidth="1" min="3" max="3"/>
    <col width="14" customWidth="1" min="4" max="4"/>
    <col width="46" customWidth="1" min="5" max="5"/>
    <col width="14" customWidth="1" min="6" max="6"/>
  </cols>
  <sheetData>
    <row r="1">
      <c r="A1" s="20" t="inlineStr">
        <is>
          <t>LEVEL 2 — Developing</t>
        </is>
      </c>
    </row>
    <row r="2">
      <c r="A2" s="5" t="inlineStr">
        <is>
          <t>Partly works, or works for the wrong reasons.</t>
        </is>
      </c>
    </row>
    <row r="3">
      <c r="A3" s="6" t="inlineStr">
        <is>
          <t>Task: Track 14 days of your own eating. For every food, source its macros, look them up in a reference table, and aggregate the log into a dashboard that answers one question you chose about your own eating.</t>
        </is>
      </c>
    </row>
    <row r="5">
      <c r="A5" s="8" t="inlineStr">
        <is>
          <t>Food table</t>
        </is>
      </c>
    </row>
    <row r="6">
      <c r="A6" s="7" t="inlineStr">
        <is>
          <t>Food</t>
        </is>
      </c>
      <c r="B6" s="7" t="inlineStr">
        <is>
          <t>Serving</t>
        </is>
      </c>
      <c r="C6" s="7" t="inlineStr">
        <is>
          <t>Calories</t>
        </is>
      </c>
      <c r="D6" s="7" t="inlineStr">
        <is>
          <t>Protein (g)</t>
        </is>
      </c>
    </row>
    <row r="7">
      <c r="A7" t="inlineStr">
        <is>
          <t>Egg, large</t>
        </is>
      </c>
      <c r="B7" t="inlineStr">
        <is>
          <t>1 egg</t>
        </is>
      </c>
      <c r="C7" t="n">
        <v>72</v>
      </c>
      <c r="D7" t="n">
        <v>6.3</v>
      </c>
    </row>
    <row r="8">
      <c r="A8" t="inlineStr">
        <is>
          <t>Ropa vieja (shredded beef)</t>
        </is>
      </c>
      <c r="B8" t="inlineStr">
        <is>
          <t>1 cup</t>
        </is>
      </c>
      <c r="C8" t="n">
        <v>285</v>
      </c>
      <c r="D8" t="n">
        <v>26</v>
      </c>
    </row>
    <row r="9">
      <c r="A9" t="inlineStr">
        <is>
          <t>Pizza slice, cheese</t>
        </is>
      </c>
      <c r="B9" t="inlineStr">
        <is>
          <t>1 slice</t>
        </is>
      </c>
      <c r="C9" t="n">
        <v>285</v>
      </c>
      <c r="D9" t="n">
        <v>12.2</v>
      </c>
    </row>
    <row r="10">
      <c r="A10" t="inlineStr">
        <is>
          <t>Banana</t>
        </is>
      </c>
      <c r="B10" t="inlineStr">
        <is>
          <t>1 medium</t>
        </is>
      </c>
      <c r="C10" t="n">
        <v>105</v>
      </c>
      <c r="D10" t="n">
        <v>1.3</v>
      </c>
    </row>
    <row r="12">
      <c r="A12" s="8" t="inlineStr">
        <is>
          <t>My log</t>
        </is>
      </c>
    </row>
    <row r="13">
      <c r="A13" s="7" t="inlineStr">
        <is>
          <t>Date</t>
        </is>
      </c>
      <c r="B13" s="7" t="inlineStr">
        <is>
          <t>Food</t>
        </is>
      </c>
      <c r="C13" s="7" t="inlineStr">
        <is>
          <t>Servings</t>
        </is>
      </c>
      <c r="D13" s="7" t="inlineStr">
        <is>
          <t>Calories</t>
        </is>
      </c>
    </row>
    <row r="14">
      <c r="A14" t="inlineStr">
        <is>
          <t>2026-09-10</t>
        </is>
      </c>
      <c r="B14" t="inlineStr">
        <is>
          <t>Egg, large</t>
        </is>
      </c>
      <c r="C14" t="n">
        <v>2</v>
      </c>
      <c r="D14" t="n">
        <v>144</v>
      </c>
    </row>
    <row r="15">
      <c r="A15" t="inlineStr">
        <is>
          <t>2026-09-11</t>
        </is>
      </c>
      <c r="B15" t="inlineStr">
        <is>
          <t>Ropa vieja (shredded beef)</t>
        </is>
      </c>
      <c r="C15" t="n">
        <v>1</v>
      </c>
      <c r="D15" t="n">
        <v>285</v>
      </c>
    </row>
    <row r="16">
      <c r="A16" t="inlineStr">
        <is>
          <t>2026-09-12</t>
        </is>
      </c>
      <c r="B16" t="inlineStr">
        <is>
          <t>Pizza slice, cheese</t>
        </is>
      </c>
      <c r="C16" t="n">
        <v>2</v>
      </c>
      <c r="D16" t="n">
        <v>570</v>
      </c>
    </row>
    <row r="17">
      <c r="A17" t="inlineStr">
        <is>
          <t>2026-09-13</t>
        </is>
      </c>
      <c r="B17" t="inlineStr">
        <is>
          <t>Banana</t>
        </is>
      </c>
      <c r="C17" t="n">
        <v>1</v>
      </c>
      <c r="D17" t="n">
        <v>105</v>
      </c>
    </row>
    <row r="18">
      <c r="A18" s="2" t="inlineStr">
        <is>
          <t>Total calories</t>
        </is>
      </c>
      <c r="B18">
        <f>144+285+570+105</f>
        <v/>
      </c>
      <c r="E18" s="21" t="inlineStr">
        <is>
          <t>⚠ The log's macro numbers are typed in, and the total is a magic number with no cell references. It is right today and will be wrong the moment anything changes.</t>
        </is>
      </c>
    </row>
    <row r="19">
      <c r="A19" s="2" t="inlineStr">
        <is>
          <t>Total protein</t>
        </is>
      </c>
      <c r="B19">
        <f>6.3*2+26+12.2*2+1.3</f>
        <v/>
      </c>
      <c r="E19" s="21" t="inlineStr">
        <is>
          <t>⚠ Same problem: numbers baked inside the formula instead of looked up.</t>
        </is>
      </c>
    </row>
    <row r="21">
      <c r="A21" s="21" t="inlineStr">
        <is>
          <t>⚠ The chart has no axis labels and a default title, so nobody can read what it shows — and a line chart joins four unrelated days as if they were a trend.</t>
        </is>
      </c>
    </row>
    <row r="22">
      <c r="A22" s="3" t="inlineStr">
        <is>
          <t>Write-up: I made a food tracker. It has a food table, a log, and a chart. I used VLOOKUP and learned how nutrition data works.</t>
        </is>
      </c>
    </row>
    <row r="23">
      <c r="A23" s="21" t="inlineStr">
        <is>
          <t>⚠ This describes WHAT was built, not what the numbers MEAN. No claim, no conclusion, nothing a reader could use.</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22" customWidth="1" min="2" max="2"/>
    <col width="46" customWidth="1" min="3" max="3"/>
  </cols>
  <sheetData>
    <row r="1">
      <c r="A1" s="22" t="inlineStr">
        <is>
          <t>LEVEL 1 — Beginning</t>
        </is>
      </c>
    </row>
    <row r="2">
      <c r="A2" s="5" t="inlineStr">
        <is>
          <t>Incomplete, or the numbers cannot be trusted.</t>
        </is>
      </c>
    </row>
    <row r="3">
      <c r="A3" s="6" t="inlineStr">
        <is>
          <t>Task: Track 14 days of your own eating. For every food, source its macros, look them up in a reference table, and aggregate the log into a dashboard that answers one question you chose about your own eating.</t>
        </is>
      </c>
    </row>
    <row r="5">
      <c r="A5" s="8" t="inlineStr">
        <is>
          <t>food tracker</t>
        </is>
      </c>
    </row>
    <row r="7">
      <c r="A7" t="inlineStr">
        <is>
          <t>total calories</t>
        </is>
      </c>
      <c r="B7" t="n">
        <v>1104</v>
      </c>
    </row>
    <row r="8">
      <c r="A8" t="inlineStr">
        <is>
          <t>total protein</t>
        </is>
      </c>
      <c r="B8" t="n">
        <v>62</v>
      </c>
    </row>
    <row r="9">
      <c r="A9" t="inlineStr">
        <is>
          <t>average per day</t>
        </is>
      </c>
      <c r="B9" t="n">
        <v>552</v>
      </c>
    </row>
    <row r="11">
      <c r="A11" s="23" t="inlineStr">
        <is>
          <t>✕ Every number is typed in. There is not one formula, so nothing can update and nothing can be checked.</t>
        </is>
      </c>
    </row>
    <row r="12">
      <c r="A12" s="23" t="inlineStr">
        <is>
          <t>✕ No reference table, and no lookup of any kind — the foods were never entered, only their totals were.</t>
        </is>
      </c>
    </row>
    <row r="13">
      <c r="A13" s="23" t="inlineStr">
        <is>
          <t>✕ No chart. No dashboard. No sources for the nutrition numbers.</t>
        </is>
      </c>
    </row>
    <row r="14">
      <c r="A14" s="23" t="inlineStr">
        <is>
          <t>✕ No conclusion. Change any assumption and this sheet says exactly the same thing, which is how you know it is not a model.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16" customWidth="1" min="1" max="1"/>
    <col width="54" customWidth="1" min="2" max="2"/>
    <col width="54" customWidth="1" min="3" max="3"/>
  </cols>
  <sheetData>
    <row r="1">
      <c r="A1" s="1" t="inlineStr">
        <is>
          <t>What Changed Between Levels</t>
        </is>
      </c>
    </row>
    <row r="2">
      <c r="A2" s="6" t="inlineStr">
        <is>
          <t>The specific difference — not a vibe. Each row is one concrete move up.</t>
        </is>
      </c>
    </row>
    <row r="4">
      <c r="A4" s="7" t="inlineStr">
        <is>
          <t>Step</t>
        </is>
      </c>
      <c r="B4" s="7" t="inlineStr">
        <is>
          <t>What was wrong below</t>
        </is>
      </c>
      <c r="C4" s="7" t="inlineStr">
        <is>
          <t>What fixes it</t>
        </is>
      </c>
    </row>
    <row r="5" ht="60" customHeight="1">
      <c r="A5" s="2" t="inlineStr">
        <is>
          <t>1 → 2</t>
        </is>
      </c>
      <c r="B5" s="3" t="inlineStr">
        <is>
          <t>No formulas at all: every macro, total, and average typed by hand, with no reference table and no chart. Nothing could be checked or reused.</t>
        </is>
      </c>
      <c r="C5" s="3" t="inlineStr">
        <is>
          <t>Build a Food Table, log the real foods, and compute the totals with formulas instead of typing them.</t>
        </is>
      </c>
    </row>
    <row r="6" ht="60" customHeight="1">
      <c r="A6" s="2" t="inlineStr">
        <is>
          <t>2 → 3</t>
        </is>
      </c>
      <c r="B6" s="3" t="inlineStr">
        <is>
          <t>Macros typed in or buried in formulas as magic numbers; the chart is mislabelled and the wrong type; the write-up describes what was built instead of what it means.</t>
        </is>
      </c>
      <c r="C6" s="3" t="inlineStr">
        <is>
          <t>Look every macro up from the table with VLOOKUP, build the daily summary with SUMIF, and label the chart so it answers a question. State a finding in words.</t>
        </is>
      </c>
    </row>
    <row r="7" ht="60" customHeight="1">
      <c r="A7" s="2" t="inlineStr">
        <is>
          <t>3 → 4</t>
        </is>
      </c>
      <c r="B7" s="3" t="inlineStr">
        <is>
          <t>Works and is honest, but the provenance of every number is missing and the insight is a feeling, not a measurement.</t>
        </is>
      </c>
      <c r="C7" s="3" t="inlineStr">
        <is>
          <t>Source every macro and colour-code its origin (USDA vs restaurant vs label), add the sources key, then turn the chart into a stated, quantified insight — with the caveat that your weakest source sets a limit on how hard you can push the claim.</t>
        </is>
      </c>
    </row>
    <row r="9">
      <c r="A9" s="2" t="inlineStr">
        <is>
          <t>The test</t>
        </is>
      </c>
      <c r="B9" s="3" t="inlineStr">
        <is>
          <t>Change one serving. Does every downstream number — including the chart — move? If not, something was typed, and you are below Level 3 no matter how it looks.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2026-09-22T13:55:51Z</dcterms:created>
  <dcterms:modified xsi:type="dcterms:W3CDTF">2026-09-22T13:55:51Z</dcterms:modified>
</cp:coreProperties>
</file>