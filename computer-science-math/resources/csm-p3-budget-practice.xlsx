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ference Tables" sheetId="2" state="visible" r:id="rId2"/>
    <sheet name="1 Roll Your Life" sheetId="3" state="visible" r:id="rId3"/>
    <sheet name="2 Verify The Rent" sheetId="4" state="visible" r:id="rId4"/>
    <sheet name="3 Take-Home Pay" sheetId="5" state="visible" r:id="rId5"/>
    <sheet name="4-5 Baseline vs Curveb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6">
    <font>
      <name val="Calibri"/>
      <family val="2"/>
      <color theme="1"/>
      <sz val="11"/>
      <scheme val="minor"/>
    </font>
    <font>
      <b val="1"/>
      <color rgb="000E406A"/>
      <sz val="16"/>
    </font>
    <font>
      <b val="1"/>
    </font>
    <font>
      <i val="1"/>
      <color rgb="0055504A"/>
    </font>
    <font>
      <b val="1"/>
      <color rgb="000E406A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406A"/>
      </patternFill>
    </fill>
    <fill>
      <patternFill patternType="solid">
        <fgColor rgb="00F3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  <xf numFmtId="1" fontId="0" fillId="3" borderId="0" pivotButton="0" quotePrefix="0" xfId="0"/>
    <xf numFmtId="164" fontId="0" fillId="3" borderId="0" pivotButton="0" quotePrefix="0" xfId="0"/>
    <xf numFmtId="1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Cornerstone III Practice — Your Miami Month</t>
        </is>
      </c>
    </row>
    <row r="3" ht="39" customHeight="1">
      <c r="A3" s="2" t="inlineStr">
        <is>
          <t>The setup</t>
        </is>
      </c>
      <c r="B3" s="3" t="inlineStr">
        <is>
          <t>You have graduated and taken a job in Miami. The randomiser deals you a role, a salary, a neighborhood, and a student-loan balance. Everybody's hand is different, so there is nothing to copy.</t>
        </is>
      </c>
    </row>
    <row r="4" ht="39" customHeight="1">
      <c r="A4" s="2" t="inlineStr">
        <is>
          <t>Roll once, then lock it</t>
        </is>
      </c>
      <c r="B4" s="3" t="inlineStr">
        <is>
          <t>RANDBETWEEN re-rolls every time the sheet recalculates. Roll your hand, then select those cells, copy, and Paste Special &gt; Values to freeze them. That is your life for this cornerstone.</t>
        </is>
      </c>
    </row>
    <row r="5" ht="26" customHeight="1">
      <c r="A5" s="2" t="inlineStr">
        <is>
          <t>Florida has no state income tax</t>
        </is>
      </c>
      <c r="B5" s="3" t="inlineStr">
        <is>
          <t>That is a real advantage and drill 3 makes you put a number on it. Federal income tax and FICA still apply — take-home is not salary divided by twelve.</t>
        </is>
      </c>
    </row>
    <row r="6" ht="39" customHeight="1">
      <c r="A6" s="2" t="inlineStr">
        <is>
          <t>Rents are approximate</t>
        </is>
      </c>
      <c r="B6" s="3" t="inlineStr">
        <is>
          <t>The neighborhood table holds modelling values, not quotes. Drill 2 asks you to check one against a real listing and report the gap. Models built on unchecked numbers are how people get hurt.</t>
        </is>
      </c>
    </row>
    <row r="7" ht="26" customHeight="1">
      <c r="A7" s="2" t="inlineStr">
        <is>
          <t>The point</t>
        </is>
      </c>
      <c r="B7" s="3" t="inlineStr">
        <is>
          <t>A budget that only works in the expected month is not a budget. You will break yours on purpose.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Reference Tables</t>
        </is>
      </c>
    </row>
    <row r="2">
      <c r="A2" s="4" t="inlineStr">
        <is>
          <t>Look values up from here. Never type them into your model.</t>
        </is>
      </c>
    </row>
    <row r="4">
      <c r="A4" s="5" t="inlineStr">
        <is>
          <t>NEIGHBORHOODS</t>
        </is>
      </c>
    </row>
    <row r="5">
      <c r="A5" s="6" t="inlineStr">
        <is>
          <t>Neighborhood</t>
        </is>
      </c>
      <c r="B5" s="6" t="inlineStr">
        <is>
          <t>Median 1BR rent</t>
        </is>
      </c>
      <c r="C5" s="6" t="inlineStr">
        <is>
          <t>Commute (min)</t>
        </is>
      </c>
      <c r="D5" s="6" t="inlineStr">
        <is>
          <t>Notes</t>
        </is>
      </c>
    </row>
    <row r="6">
      <c r="A6" t="inlineStr">
        <is>
          <t>Brickell</t>
        </is>
      </c>
      <c r="B6" s="7" t="n">
        <v>3000</v>
      </c>
      <c r="C6" t="n">
        <v>10</v>
      </c>
      <c r="D6" s="3" t="inlineStr">
        <is>
          <t>High-rise downtown core; walkable, priciest</t>
        </is>
      </c>
    </row>
    <row r="7">
      <c r="A7" t="inlineStr">
        <is>
          <t>Downtown</t>
        </is>
      </c>
      <c r="B7" s="7" t="n">
        <v>2700</v>
      </c>
      <c r="C7" t="n">
        <v>10</v>
      </c>
      <c r="D7" s="3" t="inlineStr">
        <is>
          <t>Metromover access; busy, mixed</t>
        </is>
      </c>
    </row>
    <row r="8">
      <c r="A8" t="inlineStr">
        <is>
          <t>Edgewater</t>
        </is>
      </c>
      <c r="B8" s="7" t="n">
        <v>2900</v>
      </c>
      <c r="C8" t="n">
        <v>15</v>
      </c>
      <c r="D8" s="3" t="inlineStr">
        <is>
          <t>Bayfront, newer towers</t>
        </is>
      </c>
    </row>
    <row r="9">
      <c r="A9" t="inlineStr">
        <is>
          <t>Wynwood</t>
        </is>
      </c>
      <c r="B9" s="7" t="n">
        <v>2800</v>
      </c>
      <c r="C9" t="n">
        <v>15</v>
      </c>
      <c r="D9" s="3" t="inlineStr">
        <is>
          <t>Arts district; converted warehouses</t>
        </is>
      </c>
    </row>
    <row r="10">
      <c r="A10" t="inlineStr">
        <is>
          <t>Design District</t>
        </is>
      </c>
      <c r="B10" s="7" t="n">
        <v>3200</v>
      </c>
      <c r="C10" t="n">
        <v>15</v>
      </c>
      <c r="D10" s="3" t="inlineStr">
        <is>
          <t>Luxury retail; small rental stock</t>
        </is>
      </c>
    </row>
    <row r="11">
      <c r="A11" t="inlineStr">
        <is>
          <t>Midtown</t>
        </is>
      </c>
      <c r="B11" s="7" t="n">
        <v>2850</v>
      </c>
      <c r="C11" t="n">
        <v>15</v>
      </c>
      <c r="D11" s="3" t="inlineStr">
        <is>
          <t>Between Wynwood and Design District</t>
        </is>
      </c>
    </row>
    <row r="12">
      <c r="A12" t="inlineStr">
        <is>
          <t>Coral Gables</t>
        </is>
      </c>
      <c r="B12" s="7" t="n">
        <v>2900</v>
      </c>
      <c r="C12" t="n">
        <v>25</v>
      </c>
      <c r="D12" s="3" t="inlineStr">
        <is>
          <t>Tree-lined, quiet, good commute south</t>
        </is>
      </c>
    </row>
    <row r="13">
      <c r="A13" t="inlineStr">
        <is>
          <t>Coconut Grove</t>
        </is>
      </c>
      <c r="B13" s="7" t="n">
        <v>3100</v>
      </c>
      <c r="C13" t="n">
        <v>25</v>
      </c>
      <c r="D13" s="3" t="inlineStr">
        <is>
          <t>Waterfront, village feel</t>
        </is>
      </c>
    </row>
    <row r="14">
      <c r="A14" t="inlineStr">
        <is>
          <t>South Miami</t>
        </is>
      </c>
      <c r="B14" s="7" t="n">
        <v>2400</v>
      </c>
      <c r="C14" t="n">
        <v>30</v>
      </c>
      <c r="D14" s="3" t="inlineStr">
        <is>
          <t>Suburban, near the Metrorail</t>
        </is>
      </c>
    </row>
    <row r="15">
      <c r="A15" t="inlineStr">
        <is>
          <t>Little Havana</t>
        </is>
      </c>
      <c r="B15" s="7" t="n">
        <v>1900</v>
      </c>
      <c r="C15" t="n">
        <v>15</v>
      </c>
      <c r="D15" s="3" t="inlineStr">
        <is>
          <t>Historic Cuban core; older stock</t>
        </is>
      </c>
    </row>
    <row r="16">
      <c r="A16" t="inlineStr">
        <is>
          <t>Allapattah</t>
        </is>
      </c>
      <c r="B16" s="7" t="n">
        <v>1800</v>
      </c>
      <c r="C16" t="n">
        <v>15</v>
      </c>
      <c r="D16" s="3" t="inlineStr">
        <is>
          <t>Rapidly changing; near the hospital district</t>
        </is>
      </c>
    </row>
    <row r="17">
      <c r="A17" t="inlineStr">
        <is>
          <t>Little Haiti</t>
        </is>
      </c>
      <c r="B17" s="7" t="n">
        <v>1750</v>
      </c>
      <c r="C17" t="n">
        <v>20</v>
      </c>
      <c r="D17" s="3" t="inlineStr">
        <is>
          <t>Historic; rising quickly</t>
        </is>
      </c>
    </row>
    <row r="18">
      <c r="A18" t="inlineStr">
        <is>
          <t>Hialeah</t>
        </is>
      </c>
      <c r="B18" s="7" t="n">
        <v>1700</v>
      </c>
      <c r="C18" t="n">
        <v>30</v>
      </c>
      <c r="D18" s="3" t="inlineStr">
        <is>
          <t>Largest inventory; longest drive</t>
        </is>
      </c>
    </row>
    <row r="19">
      <c r="A19" t="inlineStr">
        <is>
          <t>North Miami</t>
        </is>
      </c>
      <c r="B19" s="7" t="n">
        <v>1800</v>
      </c>
      <c r="C19" t="n">
        <v>30</v>
      </c>
      <c r="D19" s="3" t="inlineStr">
        <is>
          <t>Near FIU Biscayne Bay</t>
        </is>
      </c>
    </row>
    <row r="20">
      <c r="A20" t="inlineStr">
        <is>
          <t>Kendall</t>
        </is>
      </c>
      <c r="B20" s="7" t="n">
        <v>2100</v>
      </c>
      <c r="C20" t="n">
        <v>40</v>
      </c>
      <c r="D20" s="3" t="inlineStr">
        <is>
          <t>Suburban southwest; car required</t>
        </is>
      </c>
    </row>
    <row r="21">
      <c r="A21" t="inlineStr">
        <is>
          <t>Doral</t>
        </is>
      </c>
      <c r="B21" s="7" t="n">
        <v>2500</v>
      </c>
      <c r="C21" t="n">
        <v>30</v>
      </c>
      <c r="D21" s="3" t="inlineStr">
        <is>
          <t>Near the airport; newer construction</t>
        </is>
      </c>
    </row>
    <row r="22">
      <c r="A22" t="inlineStr">
        <is>
          <t>Miami Beach</t>
        </is>
      </c>
      <c r="B22" s="7" t="n">
        <v>2600</v>
      </c>
      <c r="C22" t="n">
        <v>35</v>
      </c>
      <c r="D22" s="3" t="inlineStr">
        <is>
          <t>Across the causeway; parking is a cost</t>
        </is>
      </c>
    </row>
    <row r="24">
      <c r="A24" s="5" t="inlineStr">
        <is>
          <t>ROLES</t>
        </is>
      </c>
    </row>
    <row r="25">
      <c r="A25" s="6" t="inlineStr">
        <is>
          <t>Job title</t>
        </is>
      </c>
      <c r="B25" s="6" t="inlineStr">
        <is>
          <t>Gross salary</t>
        </is>
      </c>
    </row>
    <row r="26">
      <c r="A26" t="inlineStr">
        <is>
          <t>Junior software developer</t>
        </is>
      </c>
      <c r="B26" s="7" t="n">
        <v>72000</v>
      </c>
    </row>
    <row r="27">
      <c r="A27" t="inlineStr">
        <is>
          <t>Marketing coordinator</t>
        </is>
      </c>
      <c r="B27" s="7" t="n">
        <v>48000</v>
      </c>
    </row>
    <row r="28">
      <c r="A28" t="inlineStr">
        <is>
          <t>Registered nurse</t>
        </is>
      </c>
      <c r="B28" s="7" t="n">
        <v>75000</v>
      </c>
    </row>
    <row r="29">
      <c r="A29" t="inlineStr">
        <is>
          <t>Civil engineer (EIT)</t>
        </is>
      </c>
      <c r="B29" s="7" t="n">
        <v>68000</v>
      </c>
    </row>
    <row r="30">
      <c r="A30" t="inlineStr">
        <is>
          <t>Paralegal</t>
        </is>
      </c>
      <c r="B30" s="7" t="n">
        <v>52000</v>
      </c>
    </row>
    <row r="31">
      <c r="A31" t="inlineStr">
        <is>
          <t>Financial analyst</t>
        </is>
      </c>
      <c r="B31" s="7" t="n">
        <v>70000</v>
      </c>
    </row>
    <row r="32">
      <c r="A32" t="inlineStr">
        <is>
          <t>Teacher, first year</t>
        </is>
      </c>
      <c r="B32" s="7" t="n">
        <v>47500</v>
      </c>
    </row>
    <row r="33">
      <c r="A33" t="inlineStr">
        <is>
          <t>Graphic designer</t>
        </is>
      </c>
      <c r="B33" s="7" t="n">
        <v>50000</v>
      </c>
    </row>
    <row r="34">
      <c r="A34" t="inlineStr">
        <is>
          <t>Mechanical engineer</t>
        </is>
      </c>
      <c r="B34" s="7" t="n">
        <v>71000</v>
      </c>
    </row>
    <row r="35">
      <c r="A35" t="inlineStr">
        <is>
          <t>Sales representative</t>
        </is>
      </c>
      <c r="B35" s="7" t="n">
        <v>55000</v>
      </c>
    </row>
    <row r="36">
      <c r="A36" t="inlineStr">
        <is>
          <t>Lab technician</t>
        </is>
      </c>
      <c r="B36" s="7" t="n">
        <v>46000</v>
      </c>
    </row>
    <row r="37">
      <c r="A37" t="inlineStr">
        <is>
          <t>Architectural designer</t>
        </is>
      </c>
      <c r="B37" s="7" t="n">
        <v>58000</v>
      </c>
    </row>
    <row r="39">
      <c r="A39" s="5" t="inlineStr">
        <is>
          <t>CURVEBALLS</t>
        </is>
      </c>
    </row>
    <row r="40">
      <c r="A40" s="6" t="inlineStr">
        <is>
          <t>Event</t>
        </is>
      </c>
      <c r="B40" s="6" t="inlineStr">
        <is>
          <t>Amount</t>
        </is>
      </c>
      <c r="C40" s="6" t="inlineStr">
        <is>
          <t>How it hits</t>
        </is>
      </c>
    </row>
    <row r="41">
      <c r="A41" t="inlineStr">
        <is>
          <t>Hurricane deductible after a named storm</t>
        </is>
      </c>
      <c r="B41" s="7" t="n">
        <v>2500</v>
      </c>
      <c r="C41" t="inlineStr">
        <is>
          <t>one-time</t>
        </is>
      </c>
    </row>
    <row r="42">
      <c r="A42" t="inlineStr">
        <is>
          <t>Car repair — pothole on the 826</t>
        </is>
      </c>
      <c r="B42" s="7" t="n">
        <v>900</v>
      </c>
      <c r="C42" t="inlineStr">
        <is>
          <t>one-time</t>
        </is>
      </c>
    </row>
    <row r="43">
      <c r="A43" t="inlineStr">
        <is>
          <t>Rent hike at renewal (+8%)</t>
        </is>
      </c>
      <c r="B43" s="7" t="n">
        <v>0</v>
      </c>
      <c r="C43" t="inlineStr">
        <is>
          <t>recurring: rent x 1.08</t>
        </is>
      </c>
    </row>
    <row r="44">
      <c r="A44" t="inlineStr">
        <is>
          <t>Hours cut 15% for two months</t>
        </is>
      </c>
      <c r="B44" s="7" t="n">
        <v>0</v>
      </c>
      <c r="C44" t="inlineStr">
        <is>
          <t>recurring: income x 0.85</t>
        </is>
      </c>
    </row>
    <row r="45">
      <c r="A45" t="inlineStr">
        <is>
          <t>AC compressor dies in August</t>
        </is>
      </c>
      <c r="B45" s="7" t="n">
        <v>1200</v>
      </c>
      <c r="C45" t="inlineStr">
        <is>
          <t>one-time</t>
        </is>
      </c>
    </row>
    <row r="46">
      <c r="A46" t="inlineStr">
        <is>
          <t>Health premium increase</t>
        </is>
      </c>
      <c r="B46" s="7" t="n">
        <v>85</v>
      </c>
      <c r="C46" t="inlineStr">
        <is>
          <t>recurring: monthly</t>
        </is>
      </c>
    </row>
    <row r="47">
      <c r="A47" t="inlineStr">
        <is>
          <t>Towed and impounded during King Tide flooding</t>
        </is>
      </c>
      <c r="B47" s="7" t="n">
        <v>600</v>
      </c>
      <c r="C47" t="inlineStr">
        <is>
          <t>one-time</t>
        </is>
      </c>
    </row>
    <row r="48">
      <c r="A48" t="inlineStr">
        <is>
          <t>Performance bonus</t>
        </is>
      </c>
      <c r="B48" s="7" t="n">
        <v>-2000</v>
      </c>
      <c r="C48" t="inlineStr">
        <is>
          <t>one-time (a gain)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52" customWidth="1" min="4" max="4"/>
  </cols>
  <sheetData>
    <row r="1">
      <c r="A1" s="1" t="inlineStr">
        <is>
          <t>Drill 1 — Roll your life</t>
        </is>
      </c>
    </row>
    <row r="2">
      <c r="A2" s="4" t="inlineStr">
        <is>
          <t>Press F9 to re-roll. When you like your hand — or accept the one you got — copy these cells and Paste Special &gt; Values to lock them.</t>
        </is>
      </c>
    </row>
    <row r="4">
      <c r="A4" s="2" t="inlineStr">
        <is>
          <t>Neighborhood roll</t>
        </is>
      </c>
      <c r="B4" s="8">
        <f>RANDBETWEEN(1,17)</f>
        <v/>
      </c>
      <c r="D4" s="3" t="inlineStr">
        <is>
          <t>INDEX pulls the row the roll landed on. Read the formula — this is the same lookup move from Cornerstone I, doing real work.</t>
        </is>
      </c>
    </row>
    <row r="5">
      <c r="A5" s="2" t="inlineStr">
        <is>
          <t>Role roll</t>
        </is>
      </c>
      <c r="B5" s="8">
        <f>RANDBETWEEN(1,12)</f>
        <v/>
      </c>
    </row>
    <row r="6">
      <c r="A6" s="2" t="inlineStr">
        <is>
          <t>Student loan balance</t>
        </is>
      </c>
      <c r="B6" s="9">
        <f>RANDBETWEEN(0,45)*1000</f>
        <v/>
      </c>
    </row>
    <row r="8">
      <c r="A8" s="5" t="inlineStr">
        <is>
          <t>YOUR HAND</t>
        </is>
      </c>
    </row>
    <row r="9">
      <c r="A9" s="2" t="inlineStr">
        <is>
          <t>Neighborhood</t>
        </is>
      </c>
      <c r="B9">
        <f>INDEX('Reference Tables'!$A$6:$A$22,$B$4)</f>
        <v/>
      </c>
    </row>
    <row r="10">
      <c r="A10" s="2" t="inlineStr">
        <is>
          <t>Median 1BR rent</t>
        </is>
      </c>
      <c r="B10" s="7">
        <f>INDEX('Reference Tables'!$B$6:$B$22,$B$4)</f>
        <v/>
      </c>
    </row>
    <row r="11">
      <c r="A11" s="2" t="inlineStr">
        <is>
          <t>Commute (min each way)</t>
        </is>
      </c>
      <c r="B11" s="10">
        <f>INDEX('Reference Tables'!$C$6:$C$22,$B$4)</f>
        <v/>
      </c>
    </row>
    <row r="12">
      <c r="A12" s="2" t="inlineStr">
        <is>
          <t>Job title</t>
        </is>
      </c>
      <c r="B12">
        <f>INDEX('Reference Tables'!$A$26:$A$37,$B$5)</f>
        <v/>
      </c>
    </row>
    <row r="13">
      <c r="A13" s="2" t="inlineStr">
        <is>
          <t>Gross salary</t>
        </is>
      </c>
      <c r="B13" s="7">
        <f>INDEX('Reference Tables'!$B$26:$B$37,$B$5)</f>
        <v/>
      </c>
    </row>
    <row r="14">
      <c r="A14" s="2" t="inlineStr">
        <is>
          <t>Student loan balance</t>
        </is>
      </c>
      <c r="B14" s="7">
        <f>$B$6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2" customWidth="1" min="3" max="3"/>
  </cols>
  <sheetData>
    <row r="1">
      <c r="A1" s="1" t="inlineStr">
        <is>
          <t>Drill 2 — Check the number against reality</t>
        </is>
      </c>
    </row>
    <row r="2">
      <c r="A2" s="4" t="inlineStr">
        <is>
          <t>The reference table holds approximate medians. Find one real listing in your neighborhood.</t>
        </is>
      </c>
    </row>
    <row r="4">
      <c r="A4" s="2" t="inlineStr">
        <is>
          <t>Your neighborhood</t>
        </is>
      </c>
      <c r="B4" s="11" t="n"/>
    </row>
    <row r="5">
      <c r="A5" s="2" t="inlineStr">
        <is>
          <t>Table value (median 1BR)</t>
        </is>
      </c>
      <c r="B5" s="11" t="n"/>
    </row>
    <row r="6">
      <c r="A6" s="2" t="inlineStr">
        <is>
          <t>Real listing you found (URL)</t>
        </is>
      </c>
      <c r="B6" s="11" t="n"/>
    </row>
    <row r="7">
      <c r="A7" s="2" t="inlineStr">
        <is>
          <t>Real listing rent</t>
        </is>
      </c>
      <c r="B7" s="11" t="n"/>
    </row>
    <row r="8">
      <c r="A8" s="2" t="inlineStr">
        <is>
          <t>Difference</t>
        </is>
      </c>
      <c r="B8" s="9">
        <f>B7-B5</f>
        <v/>
      </c>
    </row>
    <row r="9">
      <c r="A9" s="2" t="inlineStr">
        <is>
          <t>Percent difference</t>
        </is>
      </c>
      <c r="B9" s="12">
        <f>IF(B5=0,"",(B7-B5)/B5)</f>
        <v/>
      </c>
    </row>
    <row r="11">
      <c r="A11" s="2" t="inlineStr">
        <is>
          <t>Which number will you build your budget on, and why? (Two sentences.)</t>
        </is>
      </c>
    </row>
    <row r="12">
      <c r="A12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54" customWidth="1" min="4" max="4"/>
  </cols>
  <sheetData>
    <row r="1">
      <c r="A1" s="1" t="inlineStr">
        <is>
          <t>Drill 3 — Salary is not take-home</t>
        </is>
      </c>
    </row>
    <row r="2">
      <c r="A2" s="4" t="inlineStr">
        <is>
          <t>Build gross to net. Florida has no state income tax; put a dollar value on that.</t>
        </is>
      </c>
    </row>
    <row r="4">
      <c r="A4" s="2" t="inlineStr">
        <is>
          <t>Gross annual salary</t>
        </is>
      </c>
      <c r="B4" s="7">
        <f>'1 Roll Your Life'!B13</f>
        <v/>
      </c>
    </row>
    <row r="5">
      <c r="A5" s="2" t="inlineStr">
        <is>
          <t>Standard deduction (single, approx.)</t>
        </is>
      </c>
      <c r="B5" s="7">
        <f>15000</f>
        <v/>
      </c>
    </row>
    <row r="6">
      <c r="A6" s="2" t="inlineStr">
        <is>
          <t>Taxable income</t>
        </is>
      </c>
      <c r="B6" s="7">
        <f>MAX(0,B4-B5)</f>
        <v/>
      </c>
    </row>
    <row r="7">
      <c r="A7" s="2" t="inlineStr">
        <is>
          <t>Federal income tax (approx. effective)</t>
        </is>
      </c>
      <c r="B7" s="7">
        <f>B6*0.12</f>
        <v/>
      </c>
    </row>
    <row r="8">
      <c r="A8" s="2" t="inlineStr">
        <is>
          <t>FICA (7.65%)</t>
        </is>
      </c>
      <c r="B8" s="7">
        <f>B4*0.0765</f>
        <v/>
      </c>
    </row>
    <row r="9">
      <c r="A9" s="2" t="inlineStr">
        <is>
          <t>Florida state income tax</t>
        </is>
      </c>
      <c r="B9" s="7">
        <f>0</f>
        <v/>
      </c>
      <c r="D9" s="3" t="inlineStr">
        <is>
          <t>Zero — and that is the point. Drill: what would this cell say if you took the same job in New York (about 6%) or California (about 8%)? Compute both and write the monthly difference below.</t>
        </is>
      </c>
    </row>
    <row r="10">
      <c r="A10" s="2" t="inlineStr">
        <is>
          <t>Net annual</t>
        </is>
      </c>
      <c r="B10" s="7">
        <f>B4-B7-B8-B9</f>
        <v/>
      </c>
    </row>
    <row r="11">
      <c r="A11" s="2" t="inlineStr">
        <is>
          <t>Take-home per month</t>
        </is>
      </c>
      <c r="B11" s="13">
        <f>B10/12</f>
        <v/>
      </c>
    </row>
    <row r="13">
      <c r="A13" s="2" t="inlineStr">
        <is>
          <t>Monthly value of living in Florida vs New York</t>
        </is>
      </c>
      <c r="B13" s="13">
        <f>B6*0.06/12</f>
        <v/>
      </c>
    </row>
    <row r="14">
      <c r="A14" s="2" t="inlineStr">
        <is>
          <t>Monthly value vs California</t>
        </is>
      </c>
      <c r="B14" s="13">
        <f>B6*0.08/12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Drills 4 &amp; 5 — The month, twice</t>
        </is>
      </c>
    </row>
    <row r="2">
      <c r="A2" s="4" t="inlineStr">
        <is>
          <t>Classify every line as fixed or variable, then run it again with a curveball.</t>
        </is>
      </c>
    </row>
    <row r="4">
      <c r="A4" s="6" t="inlineStr">
        <is>
          <t>Category</t>
        </is>
      </c>
      <c r="B4" s="6" t="inlineStr">
        <is>
          <t>Fixed or variable?</t>
        </is>
      </c>
      <c r="C4" s="6" t="inlineStr">
        <is>
          <t>Baseline</t>
        </is>
      </c>
      <c r="D4" s="6" t="inlineStr">
        <is>
          <t>With curveball</t>
        </is>
      </c>
    </row>
    <row r="5">
      <c r="A5" t="inlineStr">
        <is>
          <t>Rent</t>
        </is>
      </c>
      <c r="B5" t="inlineStr">
        <is>
          <t>Fixed</t>
        </is>
      </c>
      <c r="C5" s="7">
        <f>'1 Roll Your Life'!B10</f>
        <v/>
      </c>
      <c r="D5" s="7">
        <f>C5</f>
        <v/>
      </c>
    </row>
    <row r="6">
      <c r="A6" t="inlineStr">
        <is>
          <t>Renter's insurance</t>
        </is>
      </c>
      <c r="B6" t="inlineStr">
        <is>
          <t>Fixed</t>
        </is>
      </c>
      <c r="C6" s="7" t="n">
        <v>25</v>
      </c>
      <c r="D6" s="7">
        <f>C6</f>
        <v/>
      </c>
    </row>
    <row r="7">
      <c r="A7" t="inlineStr">
        <is>
          <t>Electricity (FPL)</t>
        </is>
      </c>
      <c r="B7" t="inlineStr">
        <is>
          <t>Variable</t>
        </is>
      </c>
      <c r="C7" s="7" t="n">
        <v>140</v>
      </c>
      <c r="D7" s="7">
        <f>C7</f>
        <v/>
      </c>
    </row>
    <row r="8">
      <c r="A8" t="inlineStr">
        <is>
          <t>Internet</t>
        </is>
      </c>
      <c r="B8" t="inlineStr">
        <is>
          <t>Fixed</t>
        </is>
      </c>
      <c r="C8" s="7" t="n">
        <v>70</v>
      </c>
      <c r="D8" s="7">
        <f>C8</f>
        <v/>
      </c>
    </row>
    <row r="9">
      <c r="A9" t="inlineStr">
        <is>
          <t>Phone</t>
        </is>
      </c>
      <c r="B9" t="inlineStr">
        <is>
          <t>Fixed</t>
        </is>
      </c>
      <c r="C9" s="7" t="n">
        <v>55</v>
      </c>
      <c r="D9" s="7">
        <f>C9</f>
        <v/>
      </c>
    </row>
    <row r="10">
      <c r="A10" t="inlineStr">
        <is>
          <t>Groceries</t>
        </is>
      </c>
      <c r="B10" t="inlineStr">
        <is>
          <t>Variable</t>
        </is>
      </c>
      <c r="C10" s="7" t="n">
        <v>400</v>
      </c>
      <c r="D10" s="7">
        <f>C10</f>
        <v/>
      </c>
    </row>
    <row r="11">
      <c r="A11" t="inlineStr">
        <is>
          <t>Eating out</t>
        </is>
      </c>
      <c r="B11" t="inlineStr">
        <is>
          <t>Variable</t>
        </is>
      </c>
      <c r="C11" s="7" t="n">
        <v>220</v>
      </c>
      <c r="D11" s="7">
        <f>C11</f>
        <v/>
      </c>
    </row>
    <row r="12">
      <c r="A12" t="inlineStr">
        <is>
          <t>Car payment</t>
        </is>
      </c>
      <c r="B12" t="inlineStr">
        <is>
          <t>Fixed</t>
        </is>
      </c>
      <c r="C12" s="7" t="n">
        <v>380</v>
      </c>
      <c r="D12" s="7">
        <f>C12</f>
        <v/>
      </c>
    </row>
    <row r="13">
      <c r="A13" t="inlineStr">
        <is>
          <t>Car insurance (Miami rates)</t>
        </is>
      </c>
      <c r="B13" t="inlineStr">
        <is>
          <t>Fixed</t>
        </is>
      </c>
      <c r="C13" s="7" t="n">
        <v>245</v>
      </c>
      <c r="D13" s="7">
        <f>C13</f>
        <v/>
      </c>
    </row>
    <row r="14">
      <c r="A14" t="inlineStr">
        <is>
          <t>Gas / tolls (SunPass)</t>
        </is>
      </c>
      <c r="B14" t="inlineStr">
        <is>
          <t>Variable</t>
        </is>
      </c>
      <c r="C14" s="7" t="n">
        <v>160</v>
      </c>
      <c r="D14" s="7">
        <f>C14</f>
        <v/>
      </c>
    </row>
    <row r="15">
      <c r="A15" t="inlineStr">
        <is>
          <t>Parking</t>
        </is>
      </c>
      <c r="B15" t="inlineStr">
        <is>
          <t>Fixed</t>
        </is>
      </c>
      <c r="C15" s="7" t="n">
        <v>90</v>
      </c>
      <c r="D15" s="7">
        <f>C15</f>
        <v/>
      </c>
    </row>
    <row r="16">
      <c r="A16" t="inlineStr">
        <is>
          <t>Student loan payment</t>
        </is>
      </c>
      <c r="B16" t="inlineStr">
        <is>
          <t>Fixed</t>
        </is>
      </c>
      <c r="C16" s="7" t="n">
        <v>250</v>
      </c>
      <c r="D16" s="7">
        <f>C16</f>
        <v/>
      </c>
    </row>
    <row r="17">
      <c r="A17" t="inlineStr">
        <is>
          <t>Health insurance</t>
        </is>
      </c>
      <c r="B17" t="inlineStr">
        <is>
          <t>Fixed</t>
        </is>
      </c>
      <c r="C17" s="7" t="n">
        <v>210</v>
      </c>
      <c r="D17" s="7">
        <f>C17</f>
        <v/>
      </c>
    </row>
    <row r="18">
      <c r="A18" t="inlineStr">
        <is>
          <t>Subscriptions</t>
        </is>
      </c>
      <c r="B18" t="inlineStr">
        <is>
          <t>Variable</t>
        </is>
      </c>
      <c r="C18" s="7" t="n">
        <v>45</v>
      </c>
      <c r="D18" s="7">
        <f>C18</f>
        <v/>
      </c>
    </row>
    <row r="19">
      <c r="A19" t="inlineStr">
        <is>
          <t>Going out</t>
        </is>
      </c>
      <c r="B19" t="inlineStr">
        <is>
          <t>Variable</t>
        </is>
      </c>
      <c r="C19" s="7" t="n">
        <v>180</v>
      </c>
      <c r="D19" s="7">
        <f>C19</f>
        <v/>
      </c>
    </row>
    <row r="20">
      <c r="A20" s="2" t="inlineStr">
        <is>
          <t>TOTAL SPENDING</t>
        </is>
      </c>
      <c r="C20" s="7">
        <f>SUM(C5:C19)</f>
        <v/>
      </c>
      <c r="D20" s="7">
        <f>SUM(D5:D19)</f>
        <v/>
      </c>
    </row>
    <row r="21">
      <c r="A21" s="2" t="inlineStr">
        <is>
          <t>Take-home</t>
        </is>
      </c>
      <c r="C21" s="7">
        <f>'3 Take-Home Pay'!B11</f>
        <v/>
      </c>
      <c r="D21" s="7">
        <f>C21</f>
        <v/>
      </c>
    </row>
    <row r="22">
      <c r="A22" s="2" t="inlineStr">
        <is>
          <t>LEFT OVER</t>
        </is>
      </c>
      <c r="C22" s="7">
        <f>C21-C20</f>
        <v/>
      </c>
      <c r="D22" s="7">
        <f>D21-D20</f>
        <v/>
      </c>
    </row>
    <row r="23">
      <c r="A23" s="2" t="inlineStr">
        <is>
          <t>SAVINGS RATE</t>
        </is>
      </c>
      <c r="C23" s="14">
        <f>IF(C21=0,"",C22/C21)</f>
        <v/>
      </c>
      <c r="D23" s="14">
        <f>IF(D21=0,"",D22/D21)</f>
        <v/>
      </c>
    </row>
    <row r="25">
      <c r="A25" s="2" t="inlineStr">
        <is>
          <t>Months until savings hit zero (curveball month repeating)</t>
        </is>
      </c>
      <c r="C25">
        <f>IF(D22&gt;=0,"never — it holds",ROUND(1000/-D22,1))</f>
        <v/>
      </c>
      <c r="E25" s="3" t="inlineStr">
        <is>
          <t>Drill 5: pick a curveball from the Reference Tables and apply it in column D only. Assume $1,000 in savings. Does your month hold?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2026-08-14T23:00:51Z</dcterms:created>
  <dcterms:modified xsi:type="dcterms:W3CDTF">2026-08-14T23:00:51Z</dcterms:modified>
</cp:coreProperties>
</file>