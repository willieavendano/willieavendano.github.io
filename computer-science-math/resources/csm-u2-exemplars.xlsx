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Level 4 — Advanced" sheetId="2" state="visible" r:id="rId2"/>
    <sheet name="Level 3 — Proficient" sheetId="3" state="visible" r:id="rId3"/>
    <sheet name="Level 2 — Developing" sheetId="4" state="visible" r:id="rId4"/>
    <sheet name="Level 1 — Beginning" sheetId="5" state="visible" r:id="rId5"/>
    <sheet name="What Chang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b val="1"/>
      <color rgb="000E406A"/>
      <sz val="16"/>
    </font>
    <font>
      <b val="1"/>
    </font>
    <font>
      <b val="1"/>
      <color rgb="002C6E49"/>
      <sz val="15"/>
    </font>
    <font>
      <i val="1"/>
      <color rgb="0055504A"/>
    </font>
    <font>
      <b val="1"/>
      <color rgb="000E406A"/>
      <sz val="12"/>
    </font>
    <font>
      <b val="1"/>
      <color rgb="00FFFFFF"/>
    </font>
    <font>
      <b val="1"/>
      <color rgb="008A5A0B"/>
      <sz val="15"/>
    </font>
    <font>
      <color rgb="008A5A0B"/>
    </font>
    <font>
      <b val="1"/>
      <color rgb="00A33A2A"/>
      <sz val="15"/>
    </font>
    <font>
      <color rgb="00A33A2A"/>
    </font>
  </fonts>
  <fills count="4">
    <fill>
      <patternFill/>
    </fill>
    <fill>
      <patternFill patternType="gray125"/>
    </fill>
    <fill>
      <patternFill patternType="solid">
        <fgColor rgb="00F3EFE7"/>
      </patternFill>
    </fill>
    <fill>
      <patternFill patternType="solid">
        <fgColor rgb="000E40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0" fillId="2" borderId="0" pivotButton="0" quotePrefix="0" xfId="0"/>
    <xf numFmtId="10" fontId="0" fillId="2" borderId="0" pivotButton="0" quotePrefix="0" xfId="0"/>
    <xf numFmtId="1" fontId="0" fillId="2" borderId="0" pivotButton="0" quotePrefix="0" xfId="0"/>
    <xf numFmtId="164" fontId="0" fillId="0" borderId="0" pivotButton="0" quotePrefix="0" xfId="0"/>
    <xf numFmtId="0" fontId="6" fillId="3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Interest vs principal over the life of the loan</a:t>
            </a:r>
          </a:p>
        </rich>
      </tx>
    </title>
    <plotArea>
      <lineChart>
        <grouping val="standard"/>
        <ser>
          <idx val="0"/>
          <order val="0"/>
          <tx>
            <strRef>
              <f>'Level 4 — Advanced'!C17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'Level 4 — Advanced'!$C$18:$C$77</f>
            </numRef>
          </val>
        </ser>
        <ser>
          <idx val="1"/>
          <order val="1"/>
          <tx>
            <strRef>
              <f>'Level 4 — Advanced'!D17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'Level 4 — Advanced'!$D$18:$D$77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Interest vs principal</a:t>
            </a:r>
          </a:p>
        </rich>
      </tx>
    </title>
    <plotArea>
      <lineChart>
        <grouping val="standard"/>
        <ser>
          <idx val="0"/>
          <order val="0"/>
          <tx>
            <strRef>
              <f>'Level 3 — Proficient'!C12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'Level 3 — Proficient'!$C$13:$C$72</f>
            </numRef>
          </val>
        </ser>
        <ser>
          <idx val="1"/>
          <order val="1"/>
          <tx>
            <strRef>
              <f>'Level 3 — Proficient'!D12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'Level 3 — Proficient'!$D$13:$D$72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17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468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Cornerstone II — What Each Level Looks Like</t>
        </is>
      </c>
    </row>
    <row r="3" ht="26" customHeight="1">
      <c r="A3" s="2" t="inlineStr">
        <is>
          <t>What this is</t>
        </is>
      </c>
      <c r="B3" s="3" t="inlineStr">
        <is>
          <t>The same car-loan task, built four times. Level 4 is what excellence looks like; Level 1 is what gets handed in when someone runs out of time. Open them side by side.</t>
        </is>
      </c>
    </row>
    <row r="4" ht="26" customHeight="1">
      <c r="A4" s="2" t="inlineStr">
        <is>
          <t>How to use it</t>
        </is>
      </c>
      <c r="B4" s="3" t="inlineStr">
        <is>
          <t>Read this BEFORE you start building, not after you are graded. Then open 'What Changed' — it names the exact difference between each pair of levels.</t>
        </is>
      </c>
    </row>
    <row r="5" ht="26" customHeight="1">
      <c r="A5" s="2" t="inlineStr">
        <is>
          <t>The fastest way to lose points</t>
        </is>
      </c>
      <c r="B5" s="3" t="inlineStr">
        <is>
          <t>Typing in a number that should have been computed. Every level below 3 fails on that alone, no matter how good it looks.</t>
        </is>
      </c>
    </row>
    <row r="6" ht="26" customHeight="1">
      <c r="A6" s="2" t="inlineStr">
        <is>
          <t>Task</t>
        </is>
      </c>
      <c r="B6" s="3" t="inlineStr">
        <is>
          <t>Model a $12,000 car loan at 7% APR over 60 months. Report the monthly payment and the total interest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1">
      <c r="A1" s="4" t="inlineStr">
        <is>
          <t>LEVEL 4 — Advanced</t>
        </is>
      </c>
    </row>
    <row r="2">
      <c r="A2" s="5" t="inlineStr">
        <is>
          <t>Publishable. Someone else could pick this up and use it.</t>
        </is>
      </c>
    </row>
    <row r="3">
      <c r="A3" s="6" t="inlineStr">
        <is>
          <t>Task: Model a $12,000 car loan at 7% APR over 60 months. Report the monthly payment and the total interest paid.</t>
        </is>
      </c>
    </row>
    <row r="5">
      <c r="A5" s="7" t="inlineStr">
        <is>
          <t>INPUTS  (change any of these — everything follows)</t>
        </is>
      </c>
    </row>
    <row r="6">
      <c r="A6" s="2" t="inlineStr">
        <is>
          <t>Vehicle price</t>
        </is>
      </c>
      <c r="B6" s="8" t="n">
        <v>15000</v>
      </c>
    </row>
    <row r="7">
      <c r="A7" s="2" t="inlineStr">
        <is>
          <t>Down payment</t>
        </is>
      </c>
      <c r="B7" s="8" t="n">
        <v>3000</v>
      </c>
    </row>
    <row r="8">
      <c r="A8" s="2" t="inlineStr">
        <is>
          <t>Annual rate (APR)</t>
        </is>
      </c>
      <c r="B8" s="9" t="n">
        <v>0.07000000000000001</v>
      </c>
    </row>
    <row r="9">
      <c r="A9" s="2" t="inlineStr">
        <is>
          <t>Term (months)</t>
        </is>
      </c>
      <c r="B9" s="10" t="n">
        <v>60</v>
      </c>
    </row>
    <row r="10">
      <c r="A10" s="2" t="inlineStr">
        <is>
          <t>Amount financed</t>
        </is>
      </c>
      <c r="B10" s="11">
        <f>B6-B7</f>
        <v/>
      </c>
    </row>
    <row r="12">
      <c r="A12" s="7" t="inlineStr">
        <is>
          <t>OUTPUTS</t>
        </is>
      </c>
    </row>
    <row r="13">
      <c r="A13" s="2" t="inlineStr">
        <is>
          <t>Monthly payment</t>
        </is>
      </c>
      <c r="B13" s="11">
        <f>IF(B9&lt;=0,"check term",PMT(B8/12,B9,-B10))</f>
        <v/>
      </c>
    </row>
    <row r="14">
      <c r="A14" s="2" t="inlineStr">
        <is>
          <t>Total paid</t>
        </is>
      </c>
      <c r="B14" s="11">
        <f>$B$13*B9</f>
        <v/>
      </c>
    </row>
    <row r="15">
      <c r="A15" s="2" t="inlineStr">
        <is>
          <t>Total interest</t>
        </is>
      </c>
      <c r="B15" s="11">
        <f>B14-B10</f>
        <v/>
      </c>
    </row>
    <row r="17">
      <c r="A17" s="12" t="inlineStr">
        <is>
          <t>Month</t>
        </is>
      </c>
      <c r="B17" s="12" t="inlineStr">
        <is>
          <t>Payment</t>
        </is>
      </c>
      <c r="C17" s="12" t="inlineStr">
        <is>
          <t>Interest</t>
        </is>
      </c>
      <c r="D17" s="12" t="inlineStr">
        <is>
          <t>Principal</t>
        </is>
      </c>
      <c r="E17" s="12" t="inlineStr">
        <is>
          <t>Balance</t>
        </is>
      </c>
      <c r="F17" s="3" t="inlineStr">
        <is>
          <t>Note the IF(): a zero or negative term would produce a nonsense payment, so the model refuses instead of lying.</t>
        </is>
      </c>
    </row>
    <row r="18">
      <c r="A18" t="n">
        <v>1</v>
      </c>
      <c r="B18" s="11">
        <f>$B$13</f>
        <v/>
      </c>
      <c r="C18" s="11">
        <f>$B$10*$B$8/12</f>
        <v/>
      </c>
      <c r="D18" s="11">
        <f>B18-C18</f>
        <v/>
      </c>
      <c r="E18" s="11">
        <f>$B$10-D18</f>
        <v/>
      </c>
    </row>
    <row r="19">
      <c r="A19" t="n">
        <v>2</v>
      </c>
      <c r="B19" s="11">
        <f>$B$13</f>
        <v/>
      </c>
      <c r="C19" s="11">
        <f>E18*$B$8/12</f>
        <v/>
      </c>
      <c r="D19" s="11">
        <f>B19-C19</f>
        <v/>
      </c>
      <c r="E19" s="11">
        <f>E18-D19</f>
        <v/>
      </c>
    </row>
    <row r="20">
      <c r="A20" t="n">
        <v>3</v>
      </c>
      <c r="B20" s="11">
        <f>$B$13</f>
        <v/>
      </c>
      <c r="C20" s="11">
        <f>E19*$B$8/12</f>
        <v/>
      </c>
      <c r="D20" s="11">
        <f>B20-C20</f>
        <v/>
      </c>
      <c r="E20" s="11">
        <f>E19-D20</f>
        <v/>
      </c>
    </row>
    <row r="21">
      <c r="A21" t="n">
        <v>4</v>
      </c>
      <c r="B21" s="11">
        <f>$B$13</f>
        <v/>
      </c>
      <c r="C21" s="11">
        <f>E20*$B$8/12</f>
        <v/>
      </c>
      <c r="D21" s="11">
        <f>B21-C21</f>
        <v/>
      </c>
      <c r="E21" s="11">
        <f>E20-D21</f>
        <v/>
      </c>
    </row>
    <row r="22">
      <c r="A22" t="n">
        <v>5</v>
      </c>
      <c r="B22" s="11">
        <f>$B$13</f>
        <v/>
      </c>
      <c r="C22" s="11">
        <f>E21*$B$8/12</f>
        <v/>
      </c>
      <c r="D22" s="11">
        <f>B22-C22</f>
        <v/>
      </c>
      <c r="E22" s="11">
        <f>E21-D22</f>
        <v/>
      </c>
    </row>
    <row r="23">
      <c r="A23" t="n">
        <v>6</v>
      </c>
      <c r="B23" s="11">
        <f>$B$13</f>
        <v/>
      </c>
      <c r="C23" s="11">
        <f>E22*$B$8/12</f>
        <v/>
      </c>
      <c r="D23" s="11">
        <f>B23-C23</f>
        <v/>
      </c>
      <c r="E23" s="11">
        <f>E22-D23</f>
        <v/>
      </c>
    </row>
    <row r="24">
      <c r="A24" t="n">
        <v>7</v>
      </c>
      <c r="B24" s="11">
        <f>$B$13</f>
        <v/>
      </c>
      <c r="C24" s="11">
        <f>E23*$B$8/12</f>
        <v/>
      </c>
      <c r="D24" s="11">
        <f>B24-C24</f>
        <v/>
      </c>
      <c r="E24" s="11">
        <f>E23-D24</f>
        <v/>
      </c>
    </row>
    <row r="25">
      <c r="A25" t="n">
        <v>8</v>
      </c>
      <c r="B25" s="11">
        <f>$B$13</f>
        <v/>
      </c>
      <c r="C25" s="11">
        <f>E24*$B$8/12</f>
        <v/>
      </c>
      <c r="D25" s="11">
        <f>B25-C25</f>
        <v/>
      </c>
      <c r="E25" s="11">
        <f>E24-D25</f>
        <v/>
      </c>
    </row>
    <row r="26">
      <c r="A26" t="n">
        <v>9</v>
      </c>
      <c r="B26" s="11">
        <f>$B$13</f>
        <v/>
      </c>
      <c r="C26" s="11">
        <f>E25*$B$8/12</f>
        <v/>
      </c>
      <c r="D26" s="11">
        <f>B26-C26</f>
        <v/>
      </c>
      <c r="E26" s="11">
        <f>E25-D26</f>
        <v/>
      </c>
    </row>
    <row r="27">
      <c r="A27" t="n">
        <v>10</v>
      </c>
      <c r="B27" s="11">
        <f>$B$13</f>
        <v/>
      </c>
      <c r="C27" s="11">
        <f>E26*$B$8/12</f>
        <v/>
      </c>
      <c r="D27" s="11">
        <f>B27-C27</f>
        <v/>
      </c>
      <c r="E27" s="11">
        <f>E26-D27</f>
        <v/>
      </c>
    </row>
    <row r="28">
      <c r="A28" t="n">
        <v>11</v>
      </c>
      <c r="B28" s="11">
        <f>$B$13</f>
        <v/>
      </c>
      <c r="C28" s="11">
        <f>E27*$B$8/12</f>
        <v/>
      </c>
      <c r="D28" s="11">
        <f>B28-C28</f>
        <v/>
      </c>
      <c r="E28" s="11">
        <f>E27-D28</f>
        <v/>
      </c>
    </row>
    <row r="29">
      <c r="A29" t="n">
        <v>12</v>
      </c>
      <c r="B29" s="11">
        <f>$B$13</f>
        <v/>
      </c>
      <c r="C29" s="11">
        <f>E28*$B$8/12</f>
        <v/>
      </c>
      <c r="D29" s="11">
        <f>B29-C29</f>
        <v/>
      </c>
      <c r="E29" s="11">
        <f>E28-D29</f>
        <v/>
      </c>
    </row>
    <row r="30">
      <c r="A30" t="n">
        <v>13</v>
      </c>
      <c r="B30" s="11">
        <f>$B$13</f>
        <v/>
      </c>
      <c r="C30" s="11">
        <f>E29*$B$8/12</f>
        <v/>
      </c>
      <c r="D30" s="11">
        <f>B30-C30</f>
        <v/>
      </c>
      <c r="E30" s="11">
        <f>E29-D30</f>
        <v/>
      </c>
    </row>
    <row r="31">
      <c r="A31" t="n">
        <v>14</v>
      </c>
      <c r="B31" s="11">
        <f>$B$13</f>
        <v/>
      </c>
      <c r="C31" s="11">
        <f>E30*$B$8/12</f>
        <v/>
      </c>
      <c r="D31" s="11">
        <f>B31-C31</f>
        <v/>
      </c>
      <c r="E31" s="11">
        <f>E30-D31</f>
        <v/>
      </c>
    </row>
    <row r="32">
      <c r="A32" t="n">
        <v>15</v>
      </c>
      <c r="B32" s="11">
        <f>$B$13</f>
        <v/>
      </c>
      <c r="C32" s="11">
        <f>E31*$B$8/12</f>
        <v/>
      </c>
      <c r="D32" s="11">
        <f>B32-C32</f>
        <v/>
      </c>
      <c r="E32" s="11">
        <f>E31-D32</f>
        <v/>
      </c>
    </row>
    <row r="33">
      <c r="A33" t="n">
        <v>16</v>
      </c>
      <c r="B33" s="11">
        <f>$B$13</f>
        <v/>
      </c>
      <c r="C33" s="11">
        <f>E32*$B$8/12</f>
        <v/>
      </c>
      <c r="D33" s="11">
        <f>B33-C33</f>
        <v/>
      </c>
      <c r="E33" s="11">
        <f>E32-D33</f>
        <v/>
      </c>
    </row>
    <row r="34">
      <c r="A34" t="n">
        <v>17</v>
      </c>
      <c r="B34" s="11">
        <f>$B$13</f>
        <v/>
      </c>
      <c r="C34" s="11">
        <f>E33*$B$8/12</f>
        <v/>
      </c>
      <c r="D34" s="11">
        <f>B34-C34</f>
        <v/>
      </c>
      <c r="E34" s="11">
        <f>E33-D34</f>
        <v/>
      </c>
    </row>
    <row r="35">
      <c r="A35" t="n">
        <v>18</v>
      </c>
      <c r="B35" s="11">
        <f>$B$13</f>
        <v/>
      </c>
      <c r="C35" s="11">
        <f>E34*$B$8/12</f>
        <v/>
      </c>
      <c r="D35" s="11">
        <f>B35-C35</f>
        <v/>
      </c>
      <c r="E35" s="11">
        <f>E34-D35</f>
        <v/>
      </c>
    </row>
    <row r="36">
      <c r="A36" t="n">
        <v>19</v>
      </c>
      <c r="B36" s="11">
        <f>$B$13</f>
        <v/>
      </c>
      <c r="C36" s="11">
        <f>E35*$B$8/12</f>
        <v/>
      </c>
      <c r="D36" s="11">
        <f>B36-C36</f>
        <v/>
      </c>
      <c r="E36" s="11">
        <f>E35-D36</f>
        <v/>
      </c>
    </row>
    <row r="37">
      <c r="A37" t="n">
        <v>20</v>
      </c>
      <c r="B37" s="11">
        <f>$B$13</f>
        <v/>
      </c>
      <c r="C37" s="11">
        <f>E36*$B$8/12</f>
        <v/>
      </c>
      <c r="D37" s="11">
        <f>B37-C37</f>
        <v/>
      </c>
      <c r="E37" s="11">
        <f>E36-D37</f>
        <v/>
      </c>
    </row>
    <row r="38">
      <c r="A38" t="n">
        <v>21</v>
      </c>
      <c r="B38" s="11">
        <f>$B$13</f>
        <v/>
      </c>
      <c r="C38" s="11">
        <f>E37*$B$8/12</f>
        <v/>
      </c>
      <c r="D38" s="11">
        <f>B38-C38</f>
        <v/>
      </c>
      <c r="E38" s="11">
        <f>E37-D38</f>
        <v/>
      </c>
    </row>
    <row r="39">
      <c r="A39" t="n">
        <v>22</v>
      </c>
      <c r="B39" s="11">
        <f>$B$13</f>
        <v/>
      </c>
      <c r="C39" s="11">
        <f>E38*$B$8/12</f>
        <v/>
      </c>
      <c r="D39" s="11">
        <f>B39-C39</f>
        <v/>
      </c>
      <c r="E39" s="11">
        <f>E38-D39</f>
        <v/>
      </c>
    </row>
    <row r="40">
      <c r="A40" t="n">
        <v>23</v>
      </c>
      <c r="B40" s="11">
        <f>$B$13</f>
        <v/>
      </c>
      <c r="C40" s="11">
        <f>E39*$B$8/12</f>
        <v/>
      </c>
      <c r="D40" s="11">
        <f>B40-C40</f>
        <v/>
      </c>
      <c r="E40" s="11">
        <f>E39-D40</f>
        <v/>
      </c>
    </row>
    <row r="41">
      <c r="A41" t="n">
        <v>24</v>
      </c>
      <c r="B41" s="11">
        <f>$B$13</f>
        <v/>
      </c>
      <c r="C41" s="11">
        <f>E40*$B$8/12</f>
        <v/>
      </c>
      <c r="D41" s="11">
        <f>B41-C41</f>
        <v/>
      </c>
      <c r="E41" s="11">
        <f>E40-D41</f>
        <v/>
      </c>
    </row>
    <row r="42">
      <c r="A42" t="n">
        <v>25</v>
      </c>
      <c r="B42" s="11">
        <f>$B$13</f>
        <v/>
      </c>
      <c r="C42" s="11">
        <f>E41*$B$8/12</f>
        <v/>
      </c>
      <c r="D42" s="11">
        <f>B42-C42</f>
        <v/>
      </c>
      <c r="E42" s="11">
        <f>E41-D42</f>
        <v/>
      </c>
    </row>
    <row r="43">
      <c r="A43" t="n">
        <v>26</v>
      </c>
      <c r="B43" s="11">
        <f>$B$13</f>
        <v/>
      </c>
      <c r="C43" s="11">
        <f>E42*$B$8/12</f>
        <v/>
      </c>
      <c r="D43" s="11">
        <f>B43-C43</f>
        <v/>
      </c>
      <c r="E43" s="11">
        <f>E42-D43</f>
        <v/>
      </c>
    </row>
    <row r="44">
      <c r="A44" t="n">
        <v>27</v>
      </c>
      <c r="B44" s="11">
        <f>$B$13</f>
        <v/>
      </c>
      <c r="C44" s="11">
        <f>E43*$B$8/12</f>
        <v/>
      </c>
      <c r="D44" s="11">
        <f>B44-C44</f>
        <v/>
      </c>
      <c r="E44" s="11">
        <f>E43-D44</f>
        <v/>
      </c>
    </row>
    <row r="45">
      <c r="A45" t="n">
        <v>28</v>
      </c>
      <c r="B45" s="11">
        <f>$B$13</f>
        <v/>
      </c>
      <c r="C45" s="11">
        <f>E44*$B$8/12</f>
        <v/>
      </c>
      <c r="D45" s="11">
        <f>B45-C45</f>
        <v/>
      </c>
      <c r="E45" s="11">
        <f>E44-D45</f>
        <v/>
      </c>
    </row>
    <row r="46">
      <c r="A46" t="n">
        <v>29</v>
      </c>
      <c r="B46" s="11">
        <f>$B$13</f>
        <v/>
      </c>
      <c r="C46" s="11">
        <f>E45*$B$8/12</f>
        <v/>
      </c>
      <c r="D46" s="11">
        <f>B46-C46</f>
        <v/>
      </c>
      <c r="E46" s="11">
        <f>E45-D46</f>
        <v/>
      </c>
    </row>
    <row r="47">
      <c r="A47" t="n">
        <v>30</v>
      </c>
      <c r="B47" s="11">
        <f>$B$13</f>
        <v/>
      </c>
      <c r="C47" s="11">
        <f>E46*$B$8/12</f>
        <v/>
      </c>
      <c r="D47" s="11">
        <f>B47-C47</f>
        <v/>
      </c>
      <c r="E47" s="11">
        <f>E46-D47</f>
        <v/>
      </c>
    </row>
    <row r="48">
      <c r="A48" t="n">
        <v>31</v>
      </c>
      <c r="B48" s="11">
        <f>$B$13</f>
        <v/>
      </c>
      <c r="C48" s="11">
        <f>E47*$B$8/12</f>
        <v/>
      </c>
      <c r="D48" s="11">
        <f>B48-C48</f>
        <v/>
      </c>
      <c r="E48" s="11">
        <f>E47-D48</f>
        <v/>
      </c>
    </row>
    <row r="49">
      <c r="A49" t="n">
        <v>32</v>
      </c>
      <c r="B49" s="11">
        <f>$B$13</f>
        <v/>
      </c>
      <c r="C49" s="11">
        <f>E48*$B$8/12</f>
        <v/>
      </c>
      <c r="D49" s="11">
        <f>B49-C49</f>
        <v/>
      </c>
      <c r="E49" s="11">
        <f>E48-D49</f>
        <v/>
      </c>
    </row>
    <row r="50">
      <c r="A50" t="n">
        <v>33</v>
      </c>
      <c r="B50" s="11">
        <f>$B$13</f>
        <v/>
      </c>
      <c r="C50" s="11">
        <f>E49*$B$8/12</f>
        <v/>
      </c>
      <c r="D50" s="11">
        <f>B50-C50</f>
        <v/>
      </c>
      <c r="E50" s="11">
        <f>E49-D50</f>
        <v/>
      </c>
    </row>
    <row r="51">
      <c r="A51" t="n">
        <v>34</v>
      </c>
      <c r="B51" s="11">
        <f>$B$13</f>
        <v/>
      </c>
      <c r="C51" s="11">
        <f>E50*$B$8/12</f>
        <v/>
      </c>
      <c r="D51" s="11">
        <f>B51-C51</f>
        <v/>
      </c>
      <c r="E51" s="11">
        <f>E50-D51</f>
        <v/>
      </c>
    </row>
    <row r="52">
      <c r="A52" t="n">
        <v>35</v>
      </c>
      <c r="B52" s="11">
        <f>$B$13</f>
        <v/>
      </c>
      <c r="C52" s="11">
        <f>E51*$B$8/12</f>
        <v/>
      </c>
      <c r="D52" s="11">
        <f>B52-C52</f>
        <v/>
      </c>
      <c r="E52" s="11">
        <f>E51-D52</f>
        <v/>
      </c>
    </row>
    <row r="53">
      <c r="A53" t="n">
        <v>36</v>
      </c>
      <c r="B53" s="11">
        <f>$B$13</f>
        <v/>
      </c>
      <c r="C53" s="11">
        <f>E52*$B$8/12</f>
        <v/>
      </c>
      <c r="D53" s="11">
        <f>B53-C53</f>
        <v/>
      </c>
      <c r="E53" s="11">
        <f>E52-D53</f>
        <v/>
      </c>
    </row>
    <row r="54">
      <c r="A54" t="n">
        <v>37</v>
      </c>
      <c r="B54" s="11">
        <f>$B$13</f>
        <v/>
      </c>
      <c r="C54" s="11">
        <f>E53*$B$8/12</f>
        <v/>
      </c>
      <c r="D54" s="11">
        <f>B54-C54</f>
        <v/>
      </c>
      <c r="E54" s="11">
        <f>E53-D54</f>
        <v/>
      </c>
    </row>
    <row r="55">
      <c r="A55" t="n">
        <v>38</v>
      </c>
      <c r="B55" s="11">
        <f>$B$13</f>
        <v/>
      </c>
      <c r="C55" s="11">
        <f>E54*$B$8/12</f>
        <v/>
      </c>
      <c r="D55" s="11">
        <f>B55-C55</f>
        <v/>
      </c>
      <c r="E55" s="11">
        <f>E54-D55</f>
        <v/>
      </c>
    </row>
    <row r="56">
      <c r="A56" t="n">
        <v>39</v>
      </c>
      <c r="B56" s="11">
        <f>$B$13</f>
        <v/>
      </c>
      <c r="C56" s="11">
        <f>E55*$B$8/12</f>
        <v/>
      </c>
      <c r="D56" s="11">
        <f>B56-C56</f>
        <v/>
      </c>
      <c r="E56" s="11">
        <f>E55-D56</f>
        <v/>
      </c>
    </row>
    <row r="57">
      <c r="A57" t="n">
        <v>40</v>
      </c>
      <c r="B57" s="11">
        <f>$B$13</f>
        <v/>
      </c>
      <c r="C57" s="11">
        <f>E56*$B$8/12</f>
        <v/>
      </c>
      <c r="D57" s="11">
        <f>B57-C57</f>
        <v/>
      </c>
      <c r="E57" s="11">
        <f>E56-D57</f>
        <v/>
      </c>
    </row>
    <row r="58">
      <c r="A58" t="n">
        <v>41</v>
      </c>
      <c r="B58" s="11">
        <f>$B$13</f>
        <v/>
      </c>
      <c r="C58" s="11">
        <f>E57*$B$8/12</f>
        <v/>
      </c>
      <c r="D58" s="11">
        <f>B58-C58</f>
        <v/>
      </c>
      <c r="E58" s="11">
        <f>E57-D58</f>
        <v/>
      </c>
    </row>
    <row r="59">
      <c r="A59" t="n">
        <v>42</v>
      </c>
      <c r="B59" s="11">
        <f>$B$13</f>
        <v/>
      </c>
      <c r="C59" s="11">
        <f>E58*$B$8/12</f>
        <v/>
      </c>
      <c r="D59" s="11">
        <f>B59-C59</f>
        <v/>
      </c>
      <c r="E59" s="11">
        <f>E58-D59</f>
        <v/>
      </c>
    </row>
    <row r="60">
      <c r="A60" t="n">
        <v>43</v>
      </c>
      <c r="B60" s="11">
        <f>$B$13</f>
        <v/>
      </c>
      <c r="C60" s="11">
        <f>E59*$B$8/12</f>
        <v/>
      </c>
      <c r="D60" s="11">
        <f>B60-C60</f>
        <v/>
      </c>
      <c r="E60" s="11">
        <f>E59-D60</f>
        <v/>
      </c>
    </row>
    <row r="61">
      <c r="A61" t="n">
        <v>44</v>
      </c>
      <c r="B61" s="11">
        <f>$B$13</f>
        <v/>
      </c>
      <c r="C61" s="11">
        <f>E60*$B$8/12</f>
        <v/>
      </c>
      <c r="D61" s="11">
        <f>B61-C61</f>
        <v/>
      </c>
      <c r="E61" s="11">
        <f>E60-D61</f>
        <v/>
      </c>
    </row>
    <row r="62">
      <c r="A62" t="n">
        <v>45</v>
      </c>
      <c r="B62" s="11">
        <f>$B$13</f>
        <v/>
      </c>
      <c r="C62" s="11">
        <f>E61*$B$8/12</f>
        <v/>
      </c>
      <c r="D62" s="11">
        <f>B62-C62</f>
        <v/>
      </c>
      <c r="E62" s="11">
        <f>E61-D62</f>
        <v/>
      </c>
    </row>
    <row r="63">
      <c r="A63" t="n">
        <v>46</v>
      </c>
      <c r="B63" s="11">
        <f>$B$13</f>
        <v/>
      </c>
      <c r="C63" s="11">
        <f>E62*$B$8/12</f>
        <v/>
      </c>
      <c r="D63" s="11">
        <f>B63-C63</f>
        <v/>
      </c>
      <c r="E63" s="11">
        <f>E62-D63</f>
        <v/>
      </c>
    </row>
    <row r="64">
      <c r="A64" t="n">
        <v>47</v>
      </c>
      <c r="B64" s="11">
        <f>$B$13</f>
        <v/>
      </c>
      <c r="C64" s="11">
        <f>E63*$B$8/12</f>
        <v/>
      </c>
      <c r="D64" s="11">
        <f>B64-C64</f>
        <v/>
      </c>
      <c r="E64" s="11">
        <f>E63-D64</f>
        <v/>
      </c>
    </row>
    <row r="65">
      <c r="A65" t="n">
        <v>48</v>
      </c>
      <c r="B65" s="11">
        <f>$B$13</f>
        <v/>
      </c>
      <c r="C65" s="11">
        <f>E64*$B$8/12</f>
        <v/>
      </c>
      <c r="D65" s="11">
        <f>B65-C65</f>
        <v/>
      </c>
      <c r="E65" s="11">
        <f>E64-D65</f>
        <v/>
      </c>
    </row>
    <row r="66">
      <c r="A66" t="n">
        <v>49</v>
      </c>
      <c r="B66" s="11">
        <f>$B$13</f>
        <v/>
      </c>
      <c r="C66" s="11">
        <f>E65*$B$8/12</f>
        <v/>
      </c>
      <c r="D66" s="11">
        <f>B66-C66</f>
        <v/>
      </c>
      <c r="E66" s="11">
        <f>E65-D66</f>
        <v/>
      </c>
    </row>
    <row r="67">
      <c r="A67" t="n">
        <v>50</v>
      </c>
      <c r="B67" s="11">
        <f>$B$13</f>
        <v/>
      </c>
      <c r="C67" s="11">
        <f>E66*$B$8/12</f>
        <v/>
      </c>
      <c r="D67" s="11">
        <f>B67-C67</f>
        <v/>
      </c>
      <c r="E67" s="11">
        <f>E66-D67</f>
        <v/>
      </c>
    </row>
    <row r="68">
      <c r="A68" t="n">
        <v>51</v>
      </c>
      <c r="B68" s="11">
        <f>$B$13</f>
        <v/>
      </c>
      <c r="C68" s="11">
        <f>E67*$B$8/12</f>
        <v/>
      </c>
      <c r="D68" s="11">
        <f>B68-C68</f>
        <v/>
      </c>
      <c r="E68" s="11">
        <f>E67-D68</f>
        <v/>
      </c>
    </row>
    <row r="69">
      <c r="A69" t="n">
        <v>52</v>
      </c>
      <c r="B69" s="11">
        <f>$B$13</f>
        <v/>
      </c>
      <c r="C69" s="11">
        <f>E68*$B$8/12</f>
        <v/>
      </c>
      <c r="D69" s="11">
        <f>B69-C69</f>
        <v/>
      </c>
      <c r="E69" s="11">
        <f>E68-D69</f>
        <v/>
      </c>
    </row>
    <row r="70">
      <c r="A70" t="n">
        <v>53</v>
      </c>
      <c r="B70" s="11">
        <f>$B$13</f>
        <v/>
      </c>
      <c r="C70" s="11">
        <f>E69*$B$8/12</f>
        <v/>
      </c>
      <c r="D70" s="11">
        <f>B70-C70</f>
        <v/>
      </c>
      <c r="E70" s="11">
        <f>E69-D70</f>
        <v/>
      </c>
    </row>
    <row r="71">
      <c r="A71" t="n">
        <v>54</v>
      </c>
      <c r="B71" s="11">
        <f>$B$13</f>
        <v/>
      </c>
      <c r="C71" s="11">
        <f>E70*$B$8/12</f>
        <v/>
      </c>
      <c r="D71" s="11">
        <f>B71-C71</f>
        <v/>
      </c>
      <c r="E71" s="11">
        <f>E70-D71</f>
        <v/>
      </c>
    </row>
    <row r="72">
      <c r="A72" t="n">
        <v>55</v>
      </c>
      <c r="B72" s="11">
        <f>$B$13</f>
        <v/>
      </c>
      <c r="C72" s="11">
        <f>E71*$B$8/12</f>
        <v/>
      </c>
      <c r="D72" s="11">
        <f>B72-C72</f>
        <v/>
      </c>
      <c r="E72" s="11">
        <f>E71-D72</f>
        <v/>
      </c>
    </row>
    <row r="73">
      <c r="A73" t="n">
        <v>56</v>
      </c>
      <c r="B73" s="11">
        <f>$B$13</f>
        <v/>
      </c>
      <c r="C73" s="11">
        <f>E72*$B$8/12</f>
        <v/>
      </c>
      <c r="D73" s="11">
        <f>B73-C73</f>
        <v/>
      </c>
      <c r="E73" s="11">
        <f>E72-D73</f>
        <v/>
      </c>
    </row>
    <row r="74">
      <c r="A74" t="n">
        <v>57</v>
      </c>
      <c r="B74" s="11">
        <f>$B$13</f>
        <v/>
      </c>
      <c r="C74" s="11">
        <f>E73*$B$8/12</f>
        <v/>
      </c>
      <c r="D74" s="11">
        <f>B74-C74</f>
        <v/>
      </c>
      <c r="E74" s="11">
        <f>E73-D74</f>
        <v/>
      </c>
    </row>
    <row r="75">
      <c r="A75" t="n">
        <v>58</v>
      </c>
      <c r="B75" s="11">
        <f>$B$13</f>
        <v/>
      </c>
      <c r="C75" s="11">
        <f>E74*$B$8/12</f>
        <v/>
      </c>
      <c r="D75" s="11">
        <f>B75-C75</f>
        <v/>
      </c>
      <c r="E75" s="11">
        <f>E74-D75</f>
        <v/>
      </c>
    </row>
    <row r="76">
      <c r="A76" t="n">
        <v>59</v>
      </c>
      <c r="B76" s="11">
        <f>$B$13</f>
        <v/>
      </c>
      <c r="C76" s="11">
        <f>E75*$B$8/12</f>
        <v/>
      </c>
      <c r="D76" s="11">
        <f>B76-C76</f>
        <v/>
      </c>
      <c r="E76" s="11">
        <f>E75-D76</f>
        <v/>
      </c>
    </row>
    <row r="77">
      <c r="A77" t="n">
        <v>60</v>
      </c>
      <c r="B77" s="11">
        <f>$B$13</f>
        <v/>
      </c>
      <c r="C77" s="11">
        <f>E76*$B$8/12</f>
        <v/>
      </c>
      <c r="D77" s="11">
        <f>B77-C77</f>
        <v/>
      </c>
      <c r="E77" s="11">
        <f>E76-D77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1">
      <c r="A1" s="4" t="inlineStr">
        <is>
          <t>LEVEL 3 — Proficient</t>
        </is>
      </c>
    </row>
    <row r="2">
      <c r="A2" s="5" t="inlineStr">
        <is>
          <t>Works and is honest. The expected standard.</t>
        </is>
      </c>
    </row>
    <row r="3">
      <c r="A3" s="6" t="inlineStr">
        <is>
          <t>Task: Model a $12,000 car loan at 7% APR over 60 months. Report the monthly payment and the total interest paid.</t>
        </is>
      </c>
    </row>
    <row r="5">
      <c r="A5" s="7" t="inlineStr">
        <is>
          <t>Inputs</t>
        </is>
      </c>
    </row>
    <row r="6">
      <c r="A6" s="2" t="inlineStr">
        <is>
          <t>Amount financed</t>
        </is>
      </c>
      <c r="B6" s="8" t="n">
        <v>12000</v>
      </c>
    </row>
    <row r="7">
      <c r="A7" s="2" t="inlineStr">
        <is>
          <t>APR</t>
        </is>
      </c>
      <c r="B7" s="9" t="n">
        <v>0.07000000000000001</v>
      </c>
    </row>
    <row r="8">
      <c r="A8" s="2" t="inlineStr">
        <is>
          <t>Term (months)</t>
        </is>
      </c>
      <c r="B8" s="10" t="n">
        <v>60</v>
      </c>
    </row>
    <row r="9">
      <c r="A9" s="2" t="inlineStr">
        <is>
          <t>Monthly payment</t>
        </is>
      </c>
      <c r="B9" s="11">
        <f>PMT(B7/12,B8,-B6)</f>
        <v/>
      </c>
    </row>
    <row r="10">
      <c r="A10" s="2" t="inlineStr">
        <is>
          <t>Total interest</t>
        </is>
      </c>
      <c r="B10" s="11">
        <f>$B$9*B8-B6</f>
        <v/>
      </c>
    </row>
    <row r="12">
      <c r="A12" s="12" t="inlineStr">
        <is>
          <t>Month</t>
        </is>
      </c>
      <c r="B12" s="12" t="inlineStr">
        <is>
          <t>Payment</t>
        </is>
      </c>
      <c r="C12" s="12" t="inlineStr">
        <is>
          <t>Interest</t>
        </is>
      </c>
      <c r="D12" s="12" t="inlineStr">
        <is>
          <t>Principal</t>
        </is>
      </c>
      <c r="E12" s="12" t="inlineStr">
        <is>
          <t>Balance</t>
        </is>
      </c>
    </row>
    <row r="13">
      <c r="A13" t="n">
        <v>1</v>
      </c>
      <c r="B13" s="11">
        <f>$B$9</f>
        <v/>
      </c>
      <c r="C13" s="11">
        <f>$B$6*$B$7/12</f>
        <v/>
      </c>
      <c r="D13" s="11">
        <f>B13-C13</f>
        <v/>
      </c>
      <c r="E13" s="11">
        <f>$B$6-D13</f>
        <v/>
      </c>
    </row>
    <row r="14">
      <c r="A14" t="n">
        <v>2</v>
      </c>
      <c r="B14" s="11">
        <f>$B$9</f>
        <v/>
      </c>
      <c r="C14" s="11">
        <f>E13*$B$7/12</f>
        <v/>
      </c>
      <c r="D14" s="11">
        <f>B14-C14</f>
        <v/>
      </c>
      <c r="E14" s="11">
        <f>E13-D14</f>
        <v/>
      </c>
    </row>
    <row r="15">
      <c r="A15" t="n">
        <v>3</v>
      </c>
      <c r="B15" s="11">
        <f>$B$9</f>
        <v/>
      </c>
      <c r="C15" s="11">
        <f>E14*$B$7/12</f>
        <v/>
      </c>
      <c r="D15" s="11">
        <f>B15-C15</f>
        <v/>
      </c>
      <c r="E15" s="11">
        <f>E14-D15</f>
        <v/>
      </c>
    </row>
    <row r="16">
      <c r="A16" t="n">
        <v>4</v>
      </c>
      <c r="B16" s="11">
        <f>$B$9</f>
        <v/>
      </c>
      <c r="C16" s="11">
        <f>E15*$B$7/12</f>
        <v/>
      </c>
      <c r="D16" s="11">
        <f>B16-C16</f>
        <v/>
      </c>
      <c r="E16" s="11">
        <f>E15-D16</f>
        <v/>
      </c>
    </row>
    <row r="17">
      <c r="A17" t="n">
        <v>5</v>
      </c>
      <c r="B17" s="11">
        <f>$B$9</f>
        <v/>
      </c>
      <c r="C17" s="11">
        <f>E16*$B$7/12</f>
        <v/>
      </c>
      <c r="D17" s="11">
        <f>B17-C17</f>
        <v/>
      </c>
      <c r="E17" s="11">
        <f>E16-D17</f>
        <v/>
      </c>
    </row>
    <row r="18">
      <c r="A18" t="n">
        <v>6</v>
      </c>
      <c r="B18" s="11">
        <f>$B$9</f>
        <v/>
      </c>
      <c r="C18" s="11">
        <f>E17*$B$7/12</f>
        <v/>
      </c>
      <c r="D18" s="11">
        <f>B18-C18</f>
        <v/>
      </c>
      <c r="E18" s="11">
        <f>E17-D18</f>
        <v/>
      </c>
    </row>
    <row r="19">
      <c r="A19" t="n">
        <v>7</v>
      </c>
      <c r="B19" s="11">
        <f>$B$9</f>
        <v/>
      </c>
      <c r="C19" s="11">
        <f>E18*$B$7/12</f>
        <v/>
      </c>
      <c r="D19" s="11">
        <f>B19-C19</f>
        <v/>
      </c>
      <c r="E19" s="11">
        <f>E18-D19</f>
        <v/>
      </c>
    </row>
    <row r="20">
      <c r="A20" t="n">
        <v>8</v>
      </c>
      <c r="B20" s="11">
        <f>$B$9</f>
        <v/>
      </c>
      <c r="C20" s="11">
        <f>E19*$B$7/12</f>
        <v/>
      </c>
      <c r="D20" s="11">
        <f>B20-C20</f>
        <v/>
      </c>
      <c r="E20" s="11">
        <f>E19-D20</f>
        <v/>
      </c>
    </row>
    <row r="21">
      <c r="A21" t="n">
        <v>9</v>
      </c>
      <c r="B21" s="11">
        <f>$B$9</f>
        <v/>
      </c>
      <c r="C21" s="11">
        <f>E20*$B$7/12</f>
        <v/>
      </c>
      <c r="D21" s="11">
        <f>B21-C21</f>
        <v/>
      </c>
      <c r="E21" s="11">
        <f>E20-D21</f>
        <v/>
      </c>
    </row>
    <row r="22">
      <c r="A22" t="n">
        <v>10</v>
      </c>
      <c r="B22" s="11">
        <f>$B$9</f>
        <v/>
      </c>
      <c r="C22" s="11">
        <f>E21*$B$7/12</f>
        <v/>
      </c>
      <c r="D22" s="11">
        <f>B22-C22</f>
        <v/>
      </c>
      <c r="E22" s="11">
        <f>E21-D22</f>
        <v/>
      </c>
    </row>
    <row r="23">
      <c r="A23" t="n">
        <v>11</v>
      </c>
      <c r="B23" s="11">
        <f>$B$9</f>
        <v/>
      </c>
      <c r="C23" s="11">
        <f>E22*$B$7/12</f>
        <v/>
      </c>
      <c r="D23" s="11">
        <f>B23-C23</f>
        <v/>
      </c>
      <c r="E23" s="11">
        <f>E22-D23</f>
        <v/>
      </c>
    </row>
    <row r="24">
      <c r="A24" t="n">
        <v>12</v>
      </c>
      <c r="B24" s="11">
        <f>$B$9</f>
        <v/>
      </c>
      <c r="C24" s="11">
        <f>E23*$B$7/12</f>
        <v/>
      </c>
      <c r="D24" s="11">
        <f>B24-C24</f>
        <v/>
      </c>
      <c r="E24" s="11">
        <f>E23-D24</f>
        <v/>
      </c>
    </row>
    <row r="25">
      <c r="A25" t="n">
        <v>13</v>
      </c>
      <c r="B25" s="11">
        <f>$B$9</f>
        <v/>
      </c>
      <c r="C25" s="11">
        <f>E24*$B$7/12</f>
        <v/>
      </c>
      <c r="D25" s="11">
        <f>B25-C25</f>
        <v/>
      </c>
      <c r="E25" s="11">
        <f>E24-D25</f>
        <v/>
      </c>
    </row>
    <row r="26">
      <c r="A26" t="n">
        <v>14</v>
      </c>
      <c r="B26" s="11">
        <f>$B$9</f>
        <v/>
      </c>
      <c r="C26" s="11">
        <f>E25*$B$7/12</f>
        <v/>
      </c>
      <c r="D26" s="11">
        <f>B26-C26</f>
        <v/>
      </c>
      <c r="E26" s="11">
        <f>E25-D26</f>
        <v/>
      </c>
    </row>
    <row r="27">
      <c r="A27" t="n">
        <v>15</v>
      </c>
      <c r="B27" s="11">
        <f>$B$9</f>
        <v/>
      </c>
      <c r="C27" s="11">
        <f>E26*$B$7/12</f>
        <v/>
      </c>
      <c r="D27" s="11">
        <f>B27-C27</f>
        <v/>
      </c>
      <c r="E27" s="11">
        <f>E26-D27</f>
        <v/>
      </c>
    </row>
    <row r="28">
      <c r="A28" t="n">
        <v>16</v>
      </c>
      <c r="B28" s="11">
        <f>$B$9</f>
        <v/>
      </c>
      <c r="C28" s="11">
        <f>E27*$B$7/12</f>
        <v/>
      </c>
      <c r="D28" s="11">
        <f>B28-C28</f>
        <v/>
      </c>
      <c r="E28" s="11">
        <f>E27-D28</f>
        <v/>
      </c>
    </row>
    <row r="29">
      <c r="A29" t="n">
        <v>17</v>
      </c>
      <c r="B29" s="11">
        <f>$B$9</f>
        <v/>
      </c>
      <c r="C29" s="11">
        <f>E28*$B$7/12</f>
        <v/>
      </c>
      <c r="D29" s="11">
        <f>B29-C29</f>
        <v/>
      </c>
      <c r="E29" s="11">
        <f>E28-D29</f>
        <v/>
      </c>
    </row>
    <row r="30">
      <c r="A30" t="n">
        <v>18</v>
      </c>
      <c r="B30" s="11">
        <f>$B$9</f>
        <v/>
      </c>
      <c r="C30" s="11">
        <f>E29*$B$7/12</f>
        <v/>
      </c>
      <c r="D30" s="11">
        <f>B30-C30</f>
        <v/>
      </c>
      <c r="E30" s="11">
        <f>E29-D30</f>
        <v/>
      </c>
    </row>
    <row r="31">
      <c r="A31" t="n">
        <v>19</v>
      </c>
      <c r="B31" s="11">
        <f>$B$9</f>
        <v/>
      </c>
      <c r="C31" s="11">
        <f>E30*$B$7/12</f>
        <v/>
      </c>
      <c r="D31" s="11">
        <f>B31-C31</f>
        <v/>
      </c>
      <c r="E31" s="11">
        <f>E30-D31</f>
        <v/>
      </c>
    </row>
    <row r="32">
      <c r="A32" t="n">
        <v>20</v>
      </c>
      <c r="B32" s="11">
        <f>$B$9</f>
        <v/>
      </c>
      <c r="C32" s="11">
        <f>E31*$B$7/12</f>
        <v/>
      </c>
      <c r="D32" s="11">
        <f>B32-C32</f>
        <v/>
      </c>
      <c r="E32" s="11">
        <f>E31-D32</f>
        <v/>
      </c>
    </row>
    <row r="33">
      <c r="A33" t="n">
        <v>21</v>
      </c>
      <c r="B33" s="11">
        <f>$B$9</f>
        <v/>
      </c>
      <c r="C33" s="11">
        <f>E32*$B$7/12</f>
        <v/>
      </c>
      <c r="D33" s="11">
        <f>B33-C33</f>
        <v/>
      </c>
      <c r="E33" s="11">
        <f>E32-D33</f>
        <v/>
      </c>
    </row>
    <row r="34">
      <c r="A34" t="n">
        <v>22</v>
      </c>
      <c r="B34" s="11">
        <f>$B$9</f>
        <v/>
      </c>
      <c r="C34" s="11">
        <f>E33*$B$7/12</f>
        <v/>
      </c>
      <c r="D34" s="11">
        <f>B34-C34</f>
        <v/>
      </c>
      <c r="E34" s="11">
        <f>E33-D34</f>
        <v/>
      </c>
    </row>
    <row r="35">
      <c r="A35" t="n">
        <v>23</v>
      </c>
      <c r="B35" s="11">
        <f>$B$9</f>
        <v/>
      </c>
      <c r="C35" s="11">
        <f>E34*$B$7/12</f>
        <v/>
      </c>
      <c r="D35" s="11">
        <f>B35-C35</f>
        <v/>
      </c>
      <c r="E35" s="11">
        <f>E34-D35</f>
        <v/>
      </c>
    </row>
    <row r="36">
      <c r="A36" t="n">
        <v>24</v>
      </c>
      <c r="B36" s="11">
        <f>$B$9</f>
        <v/>
      </c>
      <c r="C36" s="11">
        <f>E35*$B$7/12</f>
        <v/>
      </c>
      <c r="D36" s="11">
        <f>B36-C36</f>
        <v/>
      </c>
      <c r="E36" s="11">
        <f>E35-D36</f>
        <v/>
      </c>
    </row>
    <row r="37">
      <c r="A37" t="n">
        <v>25</v>
      </c>
      <c r="B37" s="11">
        <f>$B$9</f>
        <v/>
      </c>
      <c r="C37" s="11">
        <f>E36*$B$7/12</f>
        <v/>
      </c>
      <c r="D37" s="11">
        <f>B37-C37</f>
        <v/>
      </c>
      <c r="E37" s="11">
        <f>E36-D37</f>
        <v/>
      </c>
    </row>
    <row r="38">
      <c r="A38" t="n">
        <v>26</v>
      </c>
      <c r="B38" s="11">
        <f>$B$9</f>
        <v/>
      </c>
      <c r="C38" s="11">
        <f>E37*$B$7/12</f>
        <v/>
      </c>
      <c r="D38" s="11">
        <f>B38-C38</f>
        <v/>
      </c>
      <c r="E38" s="11">
        <f>E37-D38</f>
        <v/>
      </c>
    </row>
    <row r="39">
      <c r="A39" t="n">
        <v>27</v>
      </c>
      <c r="B39" s="11">
        <f>$B$9</f>
        <v/>
      </c>
      <c r="C39" s="11">
        <f>E38*$B$7/12</f>
        <v/>
      </c>
      <c r="D39" s="11">
        <f>B39-C39</f>
        <v/>
      </c>
      <c r="E39" s="11">
        <f>E38-D39</f>
        <v/>
      </c>
    </row>
    <row r="40">
      <c r="A40" t="n">
        <v>28</v>
      </c>
      <c r="B40" s="11">
        <f>$B$9</f>
        <v/>
      </c>
      <c r="C40" s="11">
        <f>E39*$B$7/12</f>
        <v/>
      </c>
      <c r="D40" s="11">
        <f>B40-C40</f>
        <v/>
      </c>
      <c r="E40" s="11">
        <f>E39-D40</f>
        <v/>
      </c>
    </row>
    <row r="41">
      <c r="A41" t="n">
        <v>29</v>
      </c>
      <c r="B41" s="11">
        <f>$B$9</f>
        <v/>
      </c>
      <c r="C41" s="11">
        <f>E40*$B$7/12</f>
        <v/>
      </c>
      <c r="D41" s="11">
        <f>B41-C41</f>
        <v/>
      </c>
      <c r="E41" s="11">
        <f>E40-D41</f>
        <v/>
      </c>
    </row>
    <row r="42">
      <c r="A42" t="n">
        <v>30</v>
      </c>
      <c r="B42" s="11">
        <f>$B$9</f>
        <v/>
      </c>
      <c r="C42" s="11">
        <f>E41*$B$7/12</f>
        <v/>
      </c>
      <c r="D42" s="11">
        <f>B42-C42</f>
        <v/>
      </c>
      <c r="E42" s="11">
        <f>E41-D42</f>
        <v/>
      </c>
    </row>
    <row r="43">
      <c r="A43" t="n">
        <v>31</v>
      </c>
      <c r="B43" s="11">
        <f>$B$9</f>
        <v/>
      </c>
      <c r="C43" s="11">
        <f>E42*$B$7/12</f>
        <v/>
      </c>
      <c r="D43" s="11">
        <f>B43-C43</f>
        <v/>
      </c>
      <c r="E43" s="11">
        <f>E42-D43</f>
        <v/>
      </c>
    </row>
    <row r="44">
      <c r="A44" t="n">
        <v>32</v>
      </c>
      <c r="B44" s="11">
        <f>$B$9</f>
        <v/>
      </c>
      <c r="C44" s="11">
        <f>E43*$B$7/12</f>
        <v/>
      </c>
      <c r="D44" s="11">
        <f>B44-C44</f>
        <v/>
      </c>
      <c r="E44" s="11">
        <f>E43-D44</f>
        <v/>
      </c>
    </row>
    <row r="45">
      <c r="A45" t="n">
        <v>33</v>
      </c>
      <c r="B45" s="11">
        <f>$B$9</f>
        <v/>
      </c>
      <c r="C45" s="11">
        <f>E44*$B$7/12</f>
        <v/>
      </c>
      <c r="D45" s="11">
        <f>B45-C45</f>
        <v/>
      </c>
      <c r="E45" s="11">
        <f>E44-D45</f>
        <v/>
      </c>
    </row>
    <row r="46">
      <c r="A46" t="n">
        <v>34</v>
      </c>
      <c r="B46" s="11">
        <f>$B$9</f>
        <v/>
      </c>
      <c r="C46" s="11">
        <f>E45*$B$7/12</f>
        <v/>
      </c>
      <c r="D46" s="11">
        <f>B46-C46</f>
        <v/>
      </c>
      <c r="E46" s="11">
        <f>E45-D46</f>
        <v/>
      </c>
    </row>
    <row r="47">
      <c r="A47" t="n">
        <v>35</v>
      </c>
      <c r="B47" s="11">
        <f>$B$9</f>
        <v/>
      </c>
      <c r="C47" s="11">
        <f>E46*$B$7/12</f>
        <v/>
      </c>
      <c r="D47" s="11">
        <f>B47-C47</f>
        <v/>
      </c>
      <c r="E47" s="11">
        <f>E46-D47</f>
        <v/>
      </c>
    </row>
    <row r="48">
      <c r="A48" t="n">
        <v>36</v>
      </c>
      <c r="B48" s="11">
        <f>$B$9</f>
        <v/>
      </c>
      <c r="C48" s="11">
        <f>E47*$B$7/12</f>
        <v/>
      </c>
      <c r="D48" s="11">
        <f>B48-C48</f>
        <v/>
      </c>
      <c r="E48" s="11">
        <f>E47-D48</f>
        <v/>
      </c>
    </row>
    <row r="49">
      <c r="A49" t="n">
        <v>37</v>
      </c>
      <c r="B49" s="11">
        <f>$B$9</f>
        <v/>
      </c>
      <c r="C49" s="11">
        <f>E48*$B$7/12</f>
        <v/>
      </c>
      <c r="D49" s="11">
        <f>B49-C49</f>
        <v/>
      </c>
      <c r="E49" s="11">
        <f>E48-D49</f>
        <v/>
      </c>
    </row>
    <row r="50">
      <c r="A50" t="n">
        <v>38</v>
      </c>
      <c r="B50" s="11">
        <f>$B$9</f>
        <v/>
      </c>
      <c r="C50" s="11">
        <f>E49*$B$7/12</f>
        <v/>
      </c>
      <c r="D50" s="11">
        <f>B50-C50</f>
        <v/>
      </c>
      <c r="E50" s="11">
        <f>E49-D50</f>
        <v/>
      </c>
    </row>
    <row r="51">
      <c r="A51" t="n">
        <v>39</v>
      </c>
      <c r="B51" s="11">
        <f>$B$9</f>
        <v/>
      </c>
      <c r="C51" s="11">
        <f>E50*$B$7/12</f>
        <v/>
      </c>
      <c r="D51" s="11">
        <f>B51-C51</f>
        <v/>
      </c>
      <c r="E51" s="11">
        <f>E50-D51</f>
        <v/>
      </c>
    </row>
    <row r="52">
      <c r="A52" t="n">
        <v>40</v>
      </c>
      <c r="B52" s="11">
        <f>$B$9</f>
        <v/>
      </c>
      <c r="C52" s="11">
        <f>E51*$B$7/12</f>
        <v/>
      </c>
      <c r="D52" s="11">
        <f>B52-C52</f>
        <v/>
      </c>
      <c r="E52" s="11">
        <f>E51-D52</f>
        <v/>
      </c>
    </row>
    <row r="53">
      <c r="A53" t="n">
        <v>41</v>
      </c>
      <c r="B53" s="11">
        <f>$B$9</f>
        <v/>
      </c>
      <c r="C53" s="11">
        <f>E52*$B$7/12</f>
        <v/>
      </c>
      <c r="D53" s="11">
        <f>B53-C53</f>
        <v/>
      </c>
      <c r="E53" s="11">
        <f>E52-D53</f>
        <v/>
      </c>
    </row>
    <row r="54">
      <c r="A54" t="n">
        <v>42</v>
      </c>
      <c r="B54" s="11">
        <f>$B$9</f>
        <v/>
      </c>
      <c r="C54" s="11">
        <f>E53*$B$7/12</f>
        <v/>
      </c>
      <c r="D54" s="11">
        <f>B54-C54</f>
        <v/>
      </c>
      <c r="E54" s="11">
        <f>E53-D54</f>
        <v/>
      </c>
    </row>
    <row r="55">
      <c r="A55" t="n">
        <v>43</v>
      </c>
      <c r="B55" s="11">
        <f>$B$9</f>
        <v/>
      </c>
      <c r="C55" s="11">
        <f>E54*$B$7/12</f>
        <v/>
      </c>
      <c r="D55" s="11">
        <f>B55-C55</f>
        <v/>
      </c>
      <c r="E55" s="11">
        <f>E54-D55</f>
        <v/>
      </c>
    </row>
    <row r="56">
      <c r="A56" t="n">
        <v>44</v>
      </c>
      <c r="B56" s="11">
        <f>$B$9</f>
        <v/>
      </c>
      <c r="C56" s="11">
        <f>E55*$B$7/12</f>
        <v/>
      </c>
      <c r="D56" s="11">
        <f>B56-C56</f>
        <v/>
      </c>
      <c r="E56" s="11">
        <f>E55-D56</f>
        <v/>
      </c>
    </row>
    <row r="57">
      <c r="A57" t="n">
        <v>45</v>
      </c>
      <c r="B57" s="11">
        <f>$B$9</f>
        <v/>
      </c>
      <c r="C57" s="11">
        <f>E56*$B$7/12</f>
        <v/>
      </c>
      <c r="D57" s="11">
        <f>B57-C57</f>
        <v/>
      </c>
      <c r="E57" s="11">
        <f>E56-D57</f>
        <v/>
      </c>
    </row>
    <row r="58">
      <c r="A58" t="n">
        <v>46</v>
      </c>
      <c r="B58" s="11">
        <f>$B$9</f>
        <v/>
      </c>
      <c r="C58" s="11">
        <f>E57*$B$7/12</f>
        <v/>
      </c>
      <c r="D58" s="11">
        <f>B58-C58</f>
        <v/>
      </c>
      <c r="E58" s="11">
        <f>E57-D58</f>
        <v/>
      </c>
    </row>
    <row r="59">
      <c r="A59" t="n">
        <v>47</v>
      </c>
      <c r="B59" s="11">
        <f>$B$9</f>
        <v/>
      </c>
      <c r="C59" s="11">
        <f>E58*$B$7/12</f>
        <v/>
      </c>
      <c r="D59" s="11">
        <f>B59-C59</f>
        <v/>
      </c>
      <c r="E59" s="11">
        <f>E58-D59</f>
        <v/>
      </c>
    </row>
    <row r="60">
      <c r="A60" t="n">
        <v>48</v>
      </c>
      <c r="B60" s="11">
        <f>$B$9</f>
        <v/>
      </c>
      <c r="C60" s="11">
        <f>E59*$B$7/12</f>
        <v/>
      </c>
      <c r="D60" s="11">
        <f>B60-C60</f>
        <v/>
      </c>
      <c r="E60" s="11">
        <f>E59-D60</f>
        <v/>
      </c>
    </row>
    <row r="61">
      <c r="A61" t="n">
        <v>49</v>
      </c>
      <c r="B61" s="11">
        <f>$B$9</f>
        <v/>
      </c>
      <c r="C61" s="11">
        <f>E60*$B$7/12</f>
        <v/>
      </c>
      <c r="D61" s="11">
        <f>B61-C61</f>
        <v/>
      </c>
      <c r="E61" s="11">
        <f>E60-D61</f>
        <v/>
      </c>
    </row>
    <row r="62">
      <c r="A62" t="n">
        <v>50</v>
      </c>
      <c r="B62" s="11">
        <f>$B$9</f>
        <v/>
      </c>
      <c r="C62" s="11">
        <f>E61*$B$7/12</f>
        <v/>
      </c>
      <c r="D62" s="11">
        <f>B62-C62</f>
        <v/>
      </c>
      <c r="E62" s="11">
        <f>E61-D62</f>
        <v/>
      </c>
    </row>
    <row r="63">
      <c r="A63" t="n">
        <v>51</v>
      </c>
      <c r="B63" s="11">
        <f>$B$9</f>
        <v/>
      </c>
      <c r="C63" s="11">
        <f>E62*$B$7/12</f>
        <v/>
      </c>
      <c r="D63" s="11">
        <f>B63-C63</f>
        <v/>
      </c>
      <c r="E63" s="11">
        <f>E62-D63</f>
        <v/>
      </c>
    </row>
    <row r="64">
      <c r="A64" t="n">
        <v>52</v>
      </c>
      <c r="B64" s="11">
        <f>$B$9</f>
        <v/>
      </c>
      <c r="C64" s="11">
        <f>E63*$B$7/12</f>
        <v/>
      </c>
      <c r="D64" s="11">
        <f>B64-C64</f>
        <v/>
      </c>
      <c r="E64" s="11">
        <f>E63-D64</f>
        <v/>
      </c>
    </row>
    <row r="65">
      <c r="A65" t="n">
        <v>53</v>
      </c>
      <c r="B65" s="11">
        <f>$B$9</f>
        <v/>
      </c>
      <c r="C65" s="11">
        <f>E64*$B$7/12</f>
        <v/>
      </c>
      <c r="D65" s="11">
        <f>B65-C65</f>
        <v/>
      </c>
      <c r="E65" s="11">
        <f>E64-D65</f>
        <v/>
      </c>
    </row>
    <row r="66">
      <c r="A66" t="n">
        <v>54</v>
      </c>
      <c r="B66" s="11">
        <f>$B$9</f>
        <v/>
      </c>
      <c r="C66" s="11">
        <f>E65*$B$7/12</f>
        <v/>
      </c>
      <c r="D66" s="11">
        <f>B66-C66</f>
        <v/>
      </c>
      <c r="E66" s="11">
        <f>E65-D66</f>
        <v/>
      </c>
    </row>
    <row r="67">
      <c r="A67" t="n">
        <v>55</v>
      </c>
      <c r="B67" s="11">
        <f>$B$9</f>
        <v/>
      </c>
      <c r="C67" s="11">
        <f>E66*$B$7/12</f>
        <v/>
      </c>
      <c r="D67" s="11">
        <f>B67-C67</f>
        <v/>
      </c>
      <c r="E67" s="11">
        <f>E66-D67</f>
        <v/>
      </c>
    </row>
    <row r="68">
      <c r="A68" t="n">
        <v>56</v>
      </c>
      <c r="B68" s="11">
        <f>$B$9</f>
        <v/>
      </c>
      <c r="C68" s="11">
        <f>E67*$B$7/12</f>
        <v/>
      </c>
      <c r="D68" s="11">
        <f>B68-C68</f>
        <v/>
      </c>
      <c r="E68" s="11">
        <f>E67-D68</f>
        <v/>
      </c>
    </row>
    <row r="69">
      <c r="A69" t="n">
        <v>57</v>
      </c>
      <c r="B69" s="11">
        <f>$B$9</f>
        <v/>
      </c>
      <c r="C69" s="11">
        <f>E68*$B$7/12</f>
        <v/>
      </c>
      <c r="D69" s="11">
        <f>B69-C69</f>
        <v/>
      </c>
      <c r="E69" s="11">
        <f>E68-D69</f>
        <v/>
      </c>
    </row>
    <row r="70">
      <c r="A70" t="n">
        <v>58</v>
      </c>
      <c r="B70" s="11">
        <f>$B$9</f>
        <v/>
      </c>
      <c r="C70" s="11">
        <f>E69*$B$7/12</f>
        <v/>
      </c>
      <c r="D70" s="11">
        <f>B70-C70</f>
        <v/>
      </c>
      <c r="E70" s="11">
        <f>E69-D70</f>
        <v/>
      </c>
    </row>
    <row r="71">
      <c r="A71" t="n">
        <v>59</v>
      </c>
      <c r="B71" s="11">
        <f>$B$9</f>
        <v/>
      </c>
      <c r="C71" s="11">
        <f>E70*$B$7/12</f>
        <v/>
      </c>
      <c r="D71" s="11">
        <f>B71-C71</f>
        <v/>
      </c>
      <c r="E71" s="11">
        <f>E70-D71</f>
        <v/>
      </c>
    </row>
    <row r="72">
      <c r="A72" t="n">
        <v>60</v>
      </c>
      <c r="B72" s="11">
        <f>$B$9</f>
        <v/>
      </c>
      <c r="C72" s="11">
        <f>E71*$B$7/12</f>
        <v/>
      </c>
      <c r="D72" s="11">
        <f>B72-C72</f>
        <v/>
      </c>
      <c r="E72" s="11">
        <f>E71-D72</f>
        <v/>
      </c>
    </row>
    <row r="75">
      <c r="A75" s="3" t="inlineStr">
        <is>
          <t>Missing vs Level 4: no down-payment input, no edge-case guard, axes unlabelled.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1">
      <c r="A1" s="13" t="inlineStr">
        <is>
          <t>LEVEL 2 — Developing</t>
        </is>
      </c>
    </row>
    <row r="2">
      <c r="A2" s="5" t="inlineStr">
        <is>
          <t>Partly works, or works for the wrong reasons.</t>
        </is>
      </c>
    </row>
    <row r="3">
      <c r="A3" s="6" t="inlineStr">
        <is>
          <t>Task: Model a $12,000 car loan at 7% APR over 60 months. Report the monthly payment and the total interest paid.</t>
        </is>
      </c>
    </row>
    <row r="5">
      <c r="A5" s="7" t="inlineStr">
        <is>
          <t>Car loan</t>
        </is>
      </c>
    </row>
    <row r="6">
      <c r="A6" t="inlineStr">
        <is>
          <t>Amount</t>
        </is>
      </c>
      <c r="B6" s="11" t="n">
        <v>12000</v>
      </c>
    </row>
    <row r="7">
      <c r="A7" t="inlineStr">
        <is>
          <t>Payment</t>
        </is>
      </c>
      <c r="B7" s="11">
        <f>PMT(0.07/12,60,-12000)</f>
        <v/>
      </c>
      <c r="F7" s="14" t="inlineStr">
        <is>
          <t>⚠ Rate and term are buried INSIDE the formula. Changing the input cell above does nothing.</t>
        </is>
      </c>
    </row>
    <row r="8">
      <c r="A8" t="inlineStr">
        <is>
          <t>Total interest</t>
        </is>
      </c>
      <c r="B8" s="11" t="n">
        <v>2256.86</v>
      </c>
      <c r="F8" s="14" t="inlineStr">
        <is>
          <t>⚠ Typed in from a calculator. It is correct RIGHT NOW — which is what makes it dangerous. Change the rate and it silently lies.</t>
        </is>
      </c>
    </row>
    <row r="10">
      <c r="A10" s="12" t="inlineStr">
        <is>
          <t>Month</t>
        </is>
      </c>
      <c r="B10" s="12" t="inlineStr">
        <is>
          <t>Interest</t>
        </is>
      </c>
      <c r="C10" s="12" t="inlineStr">
        <is>
          <t>Principal</t>
        </is>
      </c>
      <c r="D10" s="12" t="inlineStr">
        <is>
          <t>Balance</t>
        </is>
      </c>
    </row>
    <row r="11">
      <c r="A11" t="n">
        <v>1</v>
      </c>
      <c r="B11" s="11">
        <f>12000*0.07/12</f>
        <v/>
      </c>
      <c r="C11" s="11">
        <f>$B$7-B11</f>
        <v/>
      </c>
      <c r="D11" s="11">
        <f>12000-C11</f>
        <v/>
      </c>
    </row>
    <row r="12">
      <c r="A12" t="n">
        <v>2</v>
      </c>
      <c r="B12" s="11">
        <f>D11*0.07/12</f>
        <v/>
      </c>
      <c r="C12" s="11">
        <f>$B$7-B12</f>
        <v/>
      </c>
      <c r="D12" s="11">
        <f>D11-C12</f>
        <v/>
      </c>
    </row>
    <row r="13">
      <c r="A13" t="n">
        <v>3</v>
      </c>
      <c r="B13" s="11">
        <f>D12*0.07/12</f>
        <v/>
      </c>
      <c r="C13" s="11">
        <f>$B$7-B13</f>
        <v/>
      </c>
      <c r="D13" s="11">
        <f>D12-C13</f>
        <v/>
      </c>
    </row>
    <row r="14">
      <c r="A14" t="n">
        <v>4</v>
      </c>
      <c r="B14" s="11">
        <f>D13*0.07/12</f>
        <v/>
      </c>
      <c r="C14" s="11">
        <f>$B$7-B14</f>
        <v/>
      </c>
      <c r="D14" s="11">
        <f>D13-C14</f>
        <v/>
      </c>
    </row>
    <row r="15">
      <c r="A15" t="n">
        <v>5</v>
      </c>
      <c r="B15" s="11">
        <f>D14*0.07/12</f>
        <v/>
      </c>
      <c r="C15" s="11">
        <f>$B$7-B15</f>
        <v/>
      </c>
      <c r="D15" s="11">
        <f>D14-C15</f>
        <v/>
      </c>
    </row>
    <row r="16">
      <c r="A16" t="n">
        <v>6</v>
      </c>
      <c r="B16" s="11">
        <f>D15*0.07/12</f>
        <v/>
      </c>
      <c r="C16" s="11">
        <f>$B$7-B16</f>
        <v/>
      </c>
      <c r="D16" s="11">
        <f>D15-C16</f>
        <v/>
      </c>
    </row>
    <row r="17">
      <c r="A17" t="n">
        <v>7</v>
      </c>
      <c r="B17" s="11">
        <f>D16*0.07/12</f>
        <v/>
      </c>
      <c r="C17" s="11">
        <f>$B$7-B17</f>
        <v/>
      </c>
      <c r="D17" s="11">
        <f>D16-C17</f>
        <v/>
      </c>
    </row>
    <row r="18">
      <c r="A18" t="n">
        <v>8</v>
      </c>
      <c r="B18" s="11">
        <f>D17*0.07/12</f>
        <v/>
      </c>
      <c r="C18" s="11">
        <f>$B$7-B18</f>
        <v/>
      </c>
      <c r="D18" s="11">
        <f>D17-C18</f>
        <v/>
      </c>
    </row>
    <row r="19">
      <c r="A19" t="n">
        <v>9</v>
      </c>
      <c r="B19" s="11">
        <f>D18*0.07/12</f>
        <v/>
      </c>
      <c r="C19" s="11">
        <f>$B$7-B19</f>
        <v/>
      </c>
      <c r="D19" s="11">
        <f>D18-C19</f>
        <v/>
      </c>
    </row>
    <row r="20">
      <c r="A20" t="n">
        <v>10</v>
      </c>
      <c r="B20" s="11">
        <f>D19*0.07/12</f>
        <v/>
      </c>
      <c r="C20" s="11">
        <f>$B$7-B20</f>
        <v/>
      </c>
      <c r="D20" s="11">
        <f>D19-C20</f>
        <v/>
      </c>
    </row>
    <row r="21">
      <c r="A21" t="n">
        <v>11</v>
      </c>
      <c r="B21" s="11">
        <f>D20*0.07/12</f>
        <v/>
      </c>
      <c r="C21" s="11">
        <f>$B$7-B21</f>
        <v/>
      </c>
      <c r="D21" s="11">
        <f>D20-C21</f>
        <v/>
      </c>
    </row>
    <row r="22">
      <c r="A22" t="n">
        <v>12</v>
      </c>
      <c r="B22" s="11">
        <f>D21*0.07/12</f>
        <v/>
      </c>
      <c r="C22" s="11">
        <f>$B$7-B22</f>
        <v/>
      </c>
      <c r="D22" s="11">
        <f>D21-C22</f>
        <v/>
      </c>
    </row>
    <row r="24">
      <c r="A24" s="14" t="inlineStr">
        <is>
          <t>⚠ Only 12 of 60 months built — the schedule stops before the answer.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1">
      <c r="A1" s="15" t="inlineStr">
        <is>
          <t>LEVEL 1 — Beginning</t>
        </is>
      </c>
    </row>
    <row r="2">
      <c r="A2" s="5" t="inlineStr">
        <is>
          <t>Incomplete, or the numbers cannot be trusted.</t>
        </is>
      </c>
    </row>
    <row r="3">
      <c r="A3" s="6" t="inlineStr">
        <is>
          <t>Task: Model a $12,000 car loan at 7% APR over 60 months. Report the monthly payment and the total interest paid.</t>
        </is>
      </c>
    </row>
    <row r="5">
      <c r="A5" s="7" t="inlineStr">
        <is>
          <t>car loan stuff</t>
        </is>
      </c>
    </row>
    <row r="7">
      <c r="A7" t="inlineStr">
        <is>
          <t>monthly payment</t>
        </is>
      </c>
      <c r="B7" s="11" t="n">
        <v>237.6</v>
      </c>
    </row>
    <row r="8">
      <c r="A8" t="inlineStr">
        <is>
          <t>total</t>
        </is>
      </c>
      <c r="B8" t="n">
        <v>14256</v>
      </c>
    </row>
    <row r="9">
      <c r="A9" t="inlineStr">
        <is>
          <t>interest</t>
        </is>
      </c>
      <c r="B9" t="n">
        <v>2256</v>
      </c>
    </row>
    <row r="11">
      <c r="A11" s="16" t="inlineStr">
        <is>
          <t>✕ Every number is typed. There is not one formula in this sheet.</t>
        </is>
      </c>
    </row>
    <row r="12">
      <c r="A12" s="16" t="inlineStr">
        <is>
          <t>✕ Nothing states the rate or the term, so the answer cannot be checked.</t>
        </is>
      </c>
    </row>
    <row r="13">
      <c r="A13" s="16" t="inlineStr">
        <is>
          <t>✕ No amortisation schedule, no chart, no conclusion.</t>
        </is>
      </c>
    </row>
    <row r="14">
      <c r="A14" s="16" t="inlineStr">
        <is>
          <t>✕ Change any assumption and this sheet says exactly the same thing — which is how you know it is not a model.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52" customWidth="1" min="3" max="3"/>
  </cols>
  <sheetData>
    <row r="1">
      <c r="A1" s="1" t="inlineStr">
        <is>
          <t>What Changed Between Levels</t>
        </is>
      </c>
    </row>
    <row r="2">
      <c r="A2" s="6" t="inlineStr">
        <is>
          <t>The specific difference — not a vibe. Each row is one concrete move up.</t>
        </is>
      </c>
    </row>
    <row r="4">
      <c r="A4" s="12" t="inlineStr">
        <is>
          <t>Step</t>
        </is>
      </c>
      <c r="B4" s="12" t="inlineStr">
        <is>
          <t>What was wrong below</t>
        </is>
      </c>
      <c r="C4" s="12" t="inlineStr">
        <is>
          <t>What fixes it</t>
        </is>
      </c>
    </row>
    <row r="5" ht="46" customHeight="1">
      <c r="A5" s="2" t="inlineStr">
        <is>
          <t>1 → 2</t>
        </is>
      </c>
      <c r="B5" s="3" t="inlineStr">
        <is>
          <t>Every number typed in by hand; no formulas at all. The sheet cannot be checked or reused.</t>
        </is>
      </c>
      <c r="C5" s="3" t="inlineStr">
        <is>
          <t>Compute at least the payment with a real formula (PMT) and start an amortisation schedule.</t>
        </is>
      </c>
    </row>
    <row r="6" ht="46" customHeight="1">
      <c r="A6" s="2" t="inlineStr">
        <is>
          <t>2 → 3</t>
        </is>
      </c>
      <c r="B6" s="3" t="inlineStr">
        <is>
          <t>Rate and term buried inside formulas; total interest typed from a calculator; schedule stops at month 12.</t>
        </is>
      </c>
      <c r="C6" s="3" t="inlineStr">
        <is>
          <t>Lift every assumption into its own labelled input cell, point the formulas at those cells, and build all 60 months so the schedule actually reaches zero.</t>
        </is>
      </c>
    </row>
    <row r="7" ht="46" customHeight="1">
      <c r="A7" s="2" t="inlineStr">
        <is>
          <t>3 → 4</t>
        </is>
      </c>
      <c r="B7" s="3" t="inlineStr">
        <is>
          <t>Works, but only models the amount financed — no vehicle price or down payment, no protection against nonsense inputs, chart axes unlabelled.</t>
        </is>
      </c>
      <c r="C7" s="3" t="inlineStr">
        <is>
          <t>Add price and down payment as inputs with amount financed derived from them; guard the edge case with IF(); label both axes and title the chart with the question it answers.</t>
        </is>
      </c>
    </row>
    <row r="9">
      <c r="A9" s="2" t="inlineStr">
        <is>
          <t>The test</t>
        </is>
      </c>
      <c r="B9" s="3" t="inlineStr">
        <is>
          <t>Change one input. If the answer does not move, you are at Level 1 no matter how it looks.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2026-08-14T23:00:51Z</dcterms:created>
  <dcterms:modified xsi:type="dcterms:W3CDTF">2026-08-14T23:00:51Z</dcterms:modified>
</cp:coreProperties>
</file>